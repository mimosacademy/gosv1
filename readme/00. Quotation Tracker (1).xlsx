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u.razak\Downloads\Update By MASB\Governance System\MA sysem dr nizar\"/>
    </mc:Choice>
  </mc:AlternateContent>
  <xr:revisionPtr revIDLastSave="0" documentId="8_{4C3EA1FE-CF33-4808-B2BF-2F6F30D0AEC7}" xr6:coauthVersionLast="36" xr6:coauthVersionMax="36" xr10:uidLastSave="{00000000-0000-0000-0000-000000000000}"/>
  <bookViews>
    <workbookView xWindow="0" yWindow="0" windowWidth="19200" windowHeight="6520" xr2:uid="{F8A810DF-46BF-47A6-99C3-70F7A342DDCD}"/>
  </bookViews>
  <sheets>
    <sheet name="Quotation Tracker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87" i="1" l="1"/>
  <c r="Q287" i="1" s="1"/>
  <c r="S287" i="1" s="1"/>
  <c r="R285" i="1"/>
  <c r="O285" i="1"/>
  <c r="Q285" i="1" s="1"/>
  <c r="S283" i="1"/>
  <c r="R283" i="1" s="1"/>
  <c r="U283" i="1" s="1"/>
  <c r="P283" i="1"/>
  <c r="P272" i="1"/>
  <c r="R272" i="1" s="1"/>
  <c r="P273" i="1"/>
  <c r="R273" i="1" s="1"/>
  <c r="O286" i="1"/>
  <c r="Q286" i="1" s="1"/>
  <c r="S286" i="1" s="1"/>
  <c r="O288" i="1"/>
  <c r="Q288" i="1" s="1"/>
  <c r="S288" i="1" s="1"/>
  <c r="O289" i="1"/>
  <c r="Q289" i="1" s="1"/>
  <c r="S289" i="1" s="1"/>
  <c r="O290" i="1"/>
  <c r="Q290" i="1" s="1"/>
  <c r="O291" i="1"/>
  <c r="Q291" i="1" s="1"/>
  <c r="R286" i="1"/>
  <c r="U286" i="1" s="1"/>
  <c r="R287" i="1"/>
  <c r="U287" i="1" s="1"/>
  <c r="R288" i="1"/>
  <c r="U288" i="1" s="1"/>
  <c r="R289" i="1"/>
  <c r="R290" i="1"/>
  <c r="R291" i="1"/>
  <c r="U289" i="1"/>
  <c r="U290" i="1"/>
  <c r="U291" i="1"/>
  <c r="O293" i="1"/>
  <c r="O294" i="1"/>
  <c r="O295" i="1"/>
  <c r="Q295" i="1" s="1"/>
  <c r="S295" i="1" s="1"/>
  <c r="O296" i="1"/>
  <c r="Q296" i="1" s="1"/>
  <c r="S296" i="1" s="1"/>
  <c r="O297" i="1"/>
  <c r="Q297" i="1" s="1"/>
  <c r="S297" i="1" s="1"/>
  <c r="O298" i="1"/>
  <c r="Q298" i="1" s="1"/>
  <c r="S298" i="1" s="1"/>
  <c r="Q293" i="1"/>
  <c r="Q294" i="1"/>
  <c r="S294" i="1" s="1"/>
  <c r="R293" i="1"/>
  <c r="S293" i="1" s="1"/>
  <c r="R294" i="1"/>
  <c r="U294" i="1" s="1"/>
  <c r="R295" i="1"/>
  <c r="U295" i="1" s="1"/>
  <c r="R296" i="1"/>
  <c r="U296" i="1" s="1"/>
  <c r="R297" i="1"/>
  <c r="U297" i="1" s="1"/>
  <c r="R298" i="1"/>
  <c r="U298" i="1"/>
  <c r="O292" i="1"/>
  <c r="Q292" i="1"/>
  <c r="R292" i="1"/>
  <c r="U292" i="1" s="1"/>
  <c r="S284" i="1"/>
  <c r="U284" i="1"/>
  <c r="O280" i="1"/>
  <c r="Q280" i="1"/>
  <c r="R280" i="1"/>
  <c r="S280" i="1" s="1"/>
  <c r="O281" i="1"/>
  <c r="Q281" i="1"/>
  <c r="R281" i="1"/>
  <c r="S281" i="1"/>
  <c r="U281" i="1"/>
  <c r="O282" i="1"/>
  <c r="Q282" i="1"/>
  <c r="S282" i="1" s="1"/>
  <c r="U282" i="1"/>
  <c r="P276" i="1"/>
  <c r="O276" i="1" s="1"/>
  <c r="Q276" i="1" s="1"/>
  <c r="S276" i="1" s="1"/>
  <c r="O279" i="1"/>
  <c r="Q279" i="1"/>
  <c r="R279" i="1"/>
  <c r="U279" i="1" s="1"/>
  <c r="S279" i="1"/>
  <c r="O278" i="1"/>
  <c r="Q278" i="1" s="1"/>
  <c r="S278" i="1"/>
  <c r="U278" i="1"/>
  <c r="O275" i="1"/>
  <c r="Q275" i="1"/>
  <c r="R275" i="1"/>
  <c r="S275" i="1"/>
  <c r="U275" i="1"/>
  <c r="R276" i="1"/>
  <c r="U276" i="1"/>
  <c r="O277" i="1"/>
  <c r="Q277" i="1"/>
  <c r="S277" i="1" s="1"/>
  <c r="R277" i="1"/>
  <c r="U277" i="1"/>
  <c r="O274" i="1"/>
  <c r="Q274" i="1" s="1"/>
  <c r="R274" i="1"/>
  <c r="S274" i="1"/>
  <c r="U274" i="1"/>
  <c r="O273" i="1"/>
  <c r="S273" i="1"/>
  <c r="U273" i="1"/>
  <c r="O272" i="1"/>
  <c r="S272" i="1"/>
  <c r="U272" i="1"/>
  <c r="O270" i="1"/>
  <c r="Q270" i="1"/>
  <c r="R270" i="1"/>
  <c r="S270" i="1" s="1"/>
  <c r="O269" i="1"/>
  <c r="Q269" i="1"/>
  <c r="R269" i="1"/>
  <c r="S269" i="1"/>
  <c r="U269" i="1"/>
  <c r="O268" i="1"/>
  <c r="Q268" i="1"/>
  <c r="R268" i="1"/>
  <c r="S268" i="1" s="1"/>
  <c r="U268" i="1"/>
  <c r="P264" i="1"/>
  <c r="R262" i="1"/>
  <c r="O262" i="1"/>
  <c r="Q262" i="1" s="1"/>
  <c r="R143" i="1"/>
  <c r="U143" i="1" s="1"/>
  <c r="R258" i="1"/>
  <c r="O258" i="1"/>
  <c r="Q258" i="1" s="1"/>
  <c r="P257" i="1"/>
  <c r="P256" i="1"/>
  <c r="P255" i="1"/>
  <c r="O261" i="1"/>
  <c r="O263" i="1"/>
  <c r="Q263" i="1" s="1"/>
  <c r="S263" i="1" s="1"/>
  <c r="O264" i="1"/>
  <c r="Q264" i="1" s="1"/>
  <c r="Q261" i="1"/>
  <c r="R261" i="1"/>
  <c r="U261" i="1" s="1"/>
  <c r="R263" i="1"/>
  <c r="U263" i="1" s="1"/>
  <c r="R264" i="1"/>
  <c r="S264" i="1" s="1"/>
  <c r="S261" i="1"/>
  <c r="O260" i="1"/>
  <c r="O265" i="1"/>
  <c r="O266" i="1"/>
  <c r="Q266" i="1" s="1"/>
  <c r="S266" i="1" s="1"/>
  <c r="Q260" i="1"/>
  <c r="Q265" i="1"/>
  <c r="R260" i="1"/>
  <c r="R265" i="1"/>
  <c r="U265" i="1" s="1"/>
  <c r="R266" i="1"/>
  <c r="U266" i="1" s="1"/>
  <c r="S260" i="1"/>
  <c r="S265" i="1"/>
  <c r="U260" i="1"/>
  <c r="O259" i="1"/>
  <c r="O267" i="1"/>
  <c r="Q259" i="1"/>
  <c r="Q267" i="1"/>
  <c r="R259" i="1"/>
  <c r="S259" i="1" s="1"/>
  <c r="R267" i="1"/>
  <c r="U267" i="1" s="1"/>
  <c r="O257" i="1"/>
  <c r="Q257" i="1"/>
  <c r="R257" i="1"/>
  <c r="S257" i="1" s="1"/>
  <c r="Q254" i="1"/>
  <c r="P254" i="1"/>
  <c r="R254" i="1" s="1"/>
  <c r="R253" i="1"/>
  <c r="O253" i="1"/>
  <c r="Q253" i="1" s="1"/>
  <c r="R252" i="1"/>
  <c r="O252" i="1"/>
  <c r="Q252" i="1" s="1"/>
  <c r="R251" i="1"/>
  <c r="O251" i="1"/>
  <c r="Q251" i="1" s="1"/>
  <c r="R250" i="1"/>
  <c r="O250" i="1"/>
  <c r="Q250" i="1" s="1"/>
  <c r="R249" i="1"/>
  <c r="O249" i="1"/>
  <c r="Q249" i="1" s="1"/>
  <c r="R248" i="1"/>
  <c r="O248" i="1"/>
  <c r="Q248" i="1" s="1"/>
  <c r="O239" i="1"/>
  <c r="R247" i="1"/>
  <c r="O247" i="1"/>
  <c r="Q247" i="1" s="1"/>
  <c r="R246" i="1"/>
  <c r="O246" i="1"/>
  <c r="Q246" i="1" s="1"/>
  <c r="P245" i="1"/>
  <c r="R245" i="1" s="1"/>
  <c r="R244" i="1"/>
  <c r="U244" i="1" s="1"/>
  <c r="O244" i="1"/>
  <c r="Q244" i="1" s="1"/>
  <c r="S244" i="1" s="1"/>
  <c r="Q243" i="1"/>
  <c r="P243" i="1"/>
  <c r="R243" i="1" s="1"/>
  <c r="R239" i="1"/>
  <c r="R242" i="1"/>
  <c r="O242" i="1"/>
  <c r="Q242" i="1" s="1"/>
  <c r="O245" i="1"/>
  <c r="Q245" i="1" s="1"/>
  <c r="O255" i="1"/>
  <c r="Q255" i="1" s="1"/>
  <c r="S255" i="1" s="1"/>
  <c r="O256" i="1"/>
  <c r="Q256" i="1" s="1"/>
  <c r="R255" i="1"/>
  <c r="R256" i="1"/>
  <c r="U255" i="1"/>
  <c r="U256" i="1"/>
  <c r="R241" i="1"/>
  <c r="O241" i="1"/>
  <c r="Q241" i="1" s="1"/>
  <c r="R240" i="1"/>
  <c r="Q238" i="1"/>
  <c r="P238" i="1"/>
  <c r="R238" i="1" s="1"/>
  <c r="R237" i="1"/>
  <c r="O237" i="1"/>
  <c r="Q237" i="1" s="1"/>
  <c r="R236" i="1"/>
  <c r="O236" i="1"/>
  <c r="Q236" i="1" s="1"/>
  <c r="R234" i="1"/>
  <c r="R233" i="1"/>
  <c r="O234" i="1"/>
  <c r="Q234" i="1" s="1"/>
  <c r="O233" i="1"/>
  <c r="Q233" i="1" s="1"/>
  <c r="Q232" i="1"/>
  <c r="P232" i="1"/>
  <c r="R232" i="1" s="1"/>
  <c r="P231" i="1"/>
  <c r="Q231" i="1"/>
  <c r="R231" i="1"/>
  <c r="S231" i="1" s="1"/>
  <c r="O103" i="1"/>
  <c r="Q228" i="1"/>
  <c r="P228" i="1"/>
  <c r="R228" i="1" s="1"/>
  <c r="Q239" i="1"/>
  <c r="O240" i="1"/>
  <c r="Q240" i="1" s="1"/>
  <c r="S239" i="1"/>
  <c r="S240" i="1"/>
  <c r="U239" i="1"/>
  <c r="U240" i="1"/>
  <c r="Q235" i="1"/>
  <c r="R235" i="1"/>
  <c r="S235" i="1"/>
  <c r="U235" i="1"/>
  <c r="O230" i="1"/>
  <c r="Q230" i="1" s="1"/>
  <c r="S230" i="1" s="1"/>
  <c r="R230" i="1"/>
  <c r="U230" i="1"/>
  <c r="O229" i="1"/>
  <c r="Q229" i="1"/>
  <c r="R229" i="1"/>
  <c r="S229" i="1"/>
  <c r="U229" i="1"/>
  <c r="R221" i="1"/>
  <c r="O221" i="1"/>
  <c r="Q221" i="1" s="1"/>
  <c r="R226" i="1"/>
  <c r="U226" i="1" s="1"/>
  <c r="O226" i="1"/>
  <c r="Q226" i="1" s="1"/>
  <c r="R225" i="1"/>
  <c r="U225" i="1" s="1"/>
  <c r="O225" i="1"/>
  <c r="Q225" i="1" s="1"/>
  <c r="R224" i="1"/>
  <c r="U224" i="1" s="1"/>
  <c r="O224" i="1"/>
  <c r="Q224" i="1" s="1"/>
  <c r="R223" i="1"/>
  <c r="O223" i="1"/>
  <c r="Q223" i="1" s="1"/>
  <c r="R222" i="1"/>
  <c r="O222" i="1"/>
  <c r="Q222" i="1" s="1"/>
  <c r="Q217" i="1"/>
  <c r="Q216" i="1"/>
  <c r="P217" i="1"/>
  <c r="R217" i="1" s="1"/>
  <c r="P216" i="1"/>
  <c r="R216" i="1" s="1"/>
  <c r="R215" i="1"/>
  <c r="R214" i="1"/>
  <c r="R213" i="1"/>
  <c r="O213" i="1"/>
  <c r="Q213" i="1" s="1"/>
  <c r="O227" i="1"/>
  <c r="Q227" i="1"/>
  <c r="R227" i="1"/>
  <c r="U227" i="1" s="1"/>
  <c r="O219" i="1"/>
  <c r="Q219" i="1"/>
  <c r="R219" i="1"/>
  <c r="U219" i="1" s="1"/>
  <c r="S219" i="1"/>
  <c r="S221" i="1"/>
  <c r="U221" i="1"/>
  <c r="U222" i="1"/>
  <c r="U223" i="1"/>
  <c r="O218" i="1"/>
  <c r="Q218" i="1" s="1"/>
  <c r="R218" i="1"/>
  <c r="S218" i="1" s="1"/>
  <c r="O215" i="1"/>
  <c r="Q215" i="1" s="1"/>
  <c r="S215" i="1"/>
  <c r="U215" i="1"/>
  <c r="O214" i="1"/>
  <c r="Q214" i="1" s="1"/>
  <c r="S214" i="1"/>
  <c r="U214" i="1"/>
  <c r="R205" i="1"/>
  <c r="Q205" i="1"/>
  <c r="R212" i="1"/>
  <c r="Q211" i="1"/>
  <c r="P211" i="1"/>
  <c r="R211" i="1" s="1"/>
  <c r="Q209" i="1"/>
  <c r="P209" i="1"/>
  <c r="R209" i="1" s="1"/>
  <c r="U209" i="1" s="1"/>
  <c r="Q208" i="1"/>
  <c r="S208" i="1" s="1"/>
  <c r="P208" i="1"/>
  <c r="R208" i="1" s="1"/>
  <c r="Q206" i="1"/>
  <c r="P206" i="1"/>
  <c r="R206" i="1" s="1"/>
  <c r="S206" i="1" s="1"/>
  <c r="Q207" i="1"/>
  <c r="P207" i="1"/>
  <c r="R207" i="1" s="1"/>
  <c r="Q204" i="1"/>
  <c r="Q203" i="1"/>
  <c r="R202" i="1"/>
  <c r="Q202" i="1"/>
  <c r="S201" i="1"/>
  <c r="U201" i="1" s="1"/>
  <c r="S200" i="1"/>
  <c r="U200" i="1" s="1"/>
  <c r="R199" i="1"/>
  <c r="S199" i="1" s="1"/>
  <c r="O199" i="1"/>
  <c r="Q199" i="1" s="1"/>
  <c r="O200" i="1"/>
  <c r="O201" i="1"/>
  <c r="O212" i="1"/>
  <c r="Q212" i="1" s="1"/>
  <c r="S212" i="1" s="1"/>
  <c r="Q210" i="1"/>
  <c r="R200" i="1"/>
  <c r="R201" i="1"/>
  <c r="R210" i="1"/>
  <c r="S207" i="1"/>
  <c r="S210" i="1"/>
  <c r="U206" i="1"/>
  <c r="U207" i="1"/>
  <c r="U208" i="1"/>
  <c r="U211" i="1"/>
  <c r="U212" i="1"/>
  <c r="Q198" i="1"/>
  <c r="P195" i="1"/>
  <c r="O195" i="1" s="1"/>
  <c r="Q195" i="1" s="1"/>
  <c r="O197" i="1"/>
  <c r="R197" i="1"/>
  <c r="S197" i="1"/>
  <c r="U197" i="1"/>
  <c r="P194" i="1"/>
  <c r="O194" i="1" s="1"/>
  <c r="Q194" i="1" s="1"/>
  <c r="P193" i="1"/>
  <c r="P192" i="1"/>
  <c r="P191" i="1"/>
  <c r="R191" i="1" s="1"/>
  <c r="P190" i="1"/>
  <c r="R190" i="1" s="1"/>
  <c r="U190" i="1" s="1"/>
  <c r="P189" i="1"/>
  <c r="R189" i="1" s="1"/>
  <c r="U189" i="1" s="1"/>
  <c r="P188" i="1"/>
  <c r="O188" i="1" s="1"/>
  <c r="Q188" i="1" s="1"/>
  <c r="O191" i="1"/>
  <c r="Q191" i="1" s="1"/>
  <c r="O192" i="1"/>
  <c r="Q192" i="1"/>
  <c r="R192" i="1"/>
  <c r="S192" i="1"/>
  <c r="U192" i="1"/>
  <c r="O193" i="1"/>
  <c r="Q193" i="1" s="1"/>
  <c r="S193" i="1" s="1"/>
  <c r="R193" i="1"/>
  <c r="U193" i="1"/>
  <c r="R186" i="1"/>
  <c r="U186" i="1" s="1"/>
  <c r="R187" i="1"/>
  <c r="U187" i="1" s="1"/>
  <c r="Q186" i="1"/>
  <c r="Q187" i="1"/>
  <c r="R185" i="1"/>
  <c r="Q184" i="1"/>
  <c r="P184" i="1"/>
  <c r="R184" i="1" s="1"/>
  <c r="R182" i="1"/>
  <c r="O182" i="1"/>
  <c r="Q182" i="1" s="1"/>
  <c r="P179" i="1"/>
  <c r="R179" i="1" s="1"/>
  <c r="U179" i="1" s="1"/>
  <c r="Q178" i="1"/>
  <c r="Q177" i="1"/>
  <c r="P175" i="1"/>
  <c r="Q174" i="1"/>
  <c r="P174" i="1"/>
  <c r="R174" i="1" s="1"/>
  <c r="O173" i="1"/>
  <c r="Q173" i="1" s="1"/>
  <c r="O172" i="1"/>
  <c r="Q172" i="1" s="1"/>
  <c r="O171" i="1"/>
  <c r="Q171" i="1" s="1"/>
  <c r="O170" i="1"/>
  <c r="Q170" i="1" s="1"/>
  <c r="O169" i="1"/>
  <c r="Q169" i="1" s="1"/>
  <c r="R168" i="1"/>
  <c r="R166" i="1"/>
  <c r="O166" i="1"/>
  <c r="Q166" i="1" s="1"/>
  <c r="P164" i="1"/>
  <c r="P98" i="1"/>
  <c r="O98" i="1" s="1"/>
  <c r="Q98" i="1" s="1"/>
  <c r="P148" i="1"/>
  <c r="O148" i="1" s="1"/>
  <c r="Q148" i="1" s="1"/>
  <c r="R156" i="1"/>
  <c r="Q156" i="1"/>
  <c r="R155" i="1"/>
  <c r="Q155" i="1"/>
  <c r="Q153" i="1"/>
  <c r="P152" i="1"/>
  <c r="Q152" i="1"/>
  <c r="Q150" i="1"/>
  <c r="Q149" i="1"/>
  <c r="R142" i="1"/>
  <c r="O142" i="1"/>
  <c r="Q142" i="1" s="1"/>
  <c r="R141" i="1"/>
  <c r="O141" i="1"/>
  <c r="Q141" i="1" s="1"/>
  <c r="P139" i="1"/>
  <c r="R139" i="1" s="1"/>
  <c r="P138" i="1"/>
  <c r="R138" i="1" s="1"/>
  <c r="O138" i="1"/>
  <c r="Q138" i="1" s="1"/>
  <c r="P137" i="1"/>
  <c r="R137" i="1" s="1"/>
  <c r="O137" i="1"/>
  <c r="Q137" i="1" s="1"/>
  <c r="P136" i="1"/>
  <c r="R136" i="1" s="1"/>
  <c r="O136" i="1"/>
  <c r="Q136" i="1" s="1"/>
  <c r="P134" i="1"/>
  <c r="R134" i="1" s="1"/>
  <c r="O134" i="1"/>
  <c r="Q134" i="1" s="1"/>
  <c r="P133" i="1"/>
  <c r="R133" i="1" s="1"/>
  <c r="O133" i="1"/>
  <c r="Q133" i="1" s="1"/>
  <c r="R132" i="1"/>
  <c r="O132" i="1"/>
  <c r="Q132" i="1" s="1"/>
  <c r="P130" i="1"/>
  <c r="R130" i="1" s="1"/>
  <c r="U130" i="1" s="1"/>
  <c r="P129" i="1"/>
  <c r="R129" i="1" s="1"/>
  <c r="U129" i="1" s="1"/>
  <c r="R128" i="1"/>
  <c r="U128" i="1" s="1"/>
  <c r="Q128" i="1"/>
  <c r="R127" i="1"/>
  <c r="P125" i="1"/>
  <c r="R125" i="1" s="1"/>
  <c r="Q125" i="1"/>
  <c r="P124" i="1"/>
  <c r="Q124" i="1"/>
  <c r="R124" i="1"/>
  <c r="U124" i="1" s="1"/>
  <c r="O118" i="1"/>
  <c r="Q118" i="1" s="1"/>
  <c r="R119" i="1"/>
  <c r="U119" i="1" s="1"/>
  <c r="Q119" i="1"/>
  <c r="O115" i="1"/>
  <c r="P114" i="1"/>
  <c r="P113" i="1"/>
  <c r="R113" i="1" s="1"/>
  <c r="U113" i="1" s="1"/>
  <c r="O114" i="1"/>
  <c r="Q114" i="1" s="1"/>
  <c r="O113" i="1"/>
  <c r="Q113" i="1" s="1"/>
  <c r="Q112" i="1"/>
  <c r="R72" i="1"/>
  <c r="R68" i="1"/>
  <c r="R69" i="1"/>
  <c r="U69" i="1" s="1"/>
  <c r="R70" i="1"/>
  <c r="U70" i="1" s="1"/>
  <c r="R71" i="1"/>
  <c r="U71" i="1" s="1"/>
  <c r="R67" i="1"/>
  <c r="U67" i="1"/>
  <c r="U68" i="1"/>
  <c r="U72" i="1"/>
  <c r="O67" i="1"/>
  <c r="Q67" i="1" s="1"/>
  <c r="O68" i="1"/>
  <c r="Q68" i="1" s="1"/>
  <c r="O69" i="1"/>
  <c r="Q69" i="1" s="1"/>
  <c r="O70" i="1"/>
  <c r="Q70" i="1" s="1"/>
  <c r="O71" i="1"/>
  <c r="Q71" i="1" s="1"/>
  <c r="O72" i="1"/>
  <c r="Q72" i="1" s="1"/>
  <c r="Q73" i="1"/>
  <c r="Q66" i="1"/>
  <c r="R66" i="1"/>
  <c r="S66" i="1" s="1"/>
  <c r="U66" i="1"/>
  <c r="O111" i="1"/>
  <c r="P111" i="1" s="1"/>
  <c r="R111" i="1" s="1"/>
  <c r="R64" i="1"/>
  <c r="O64" i="1"/>
  <c r="Q64" i="1" s="1"/>
  <c r="R63" i="1"/>
  <c r="O63" i="1"/>
  <c r="Q63" i="1" s="1"/>
  <c r="O106" i="1"/>
  <c r="O107" i="1"/>
  <c r="Q107" i="1" s="1"/>
  <c r="O109" i="1"/>
  <c r="Q109" i="1" s="1"/>
  <c r="R110" i="1"/>
  <c r="U110" i="1" s="1"/>
  <c r="R109" i="1"/>
  <c r="S109" i="1" s="1"/>
  <c r="P108" i="1"/>
  <c r="R107" i="1"/>
  <c r="R106" i="1"/>
  <c r="R105" i="1"/>
  <c r="R104" i="1"/>
  <c r="R101" i="1"/>
  <c r="U101" i="1" s="1"/>
  <c r="R103" i="1"/>
  <c r="U103" i="1" s="1"/>
  <c r="R102" i="1"/>
  <c r="Q100" i="1"/>
  <c r="Q99" i="1"/>
  <c r="P94" i="1"/>
  <c r="P96" i="1"/>
  <c r="R96" i="1"/>
  <c r="O97" i="1"/>
  <c r="R97" i="1"/>
  <c r="Q97" i="1"/>
  <c r="P95" i="1"/>
  <c r="P93" i="1"/>
  <c r="R93" i="1"/>
  <c r="O93" i="1"/>
  <c r="Q93" i="1" s="1"/>
  <c r="O92" i="1"/>
  <c r="Q92" i="1"/>
  <c r="R92" i="1"/>
  <c r="S92" i="1" s="1"/>
  <c r="P91" i="1"/>
  <c r="R91" i="1" s="1"/>
  <c r="P61" i="1"/>
  <c r="O61" i="1"/>
  <c r="Q61" i="1" s="1"/>
  <c r="R88" i="1"/>
  <c r="R85" i="1"/>
  <c r="R77" i="1"/>
  <c r="R74" i="1"/>
  <c r="Q74" i="1"/>
  <c r="O56" i="1"/>
  <c r="Q56" i="1" s="1"/>
  <c r="O59" i="1"/>
  <c r="Q59" i="1" s="1"/>
  <c r="R54" i="1"/>
  <c r="O54" i="1"/>
  <c r="Q54" i="1" s="1"/>
  <c r="R53" i="1"/>
  <c r="O53" i="1"/>
  <c r="Q53" i="1" s="1"/>
  <c r="R52" i="1"/>
  <c r="O52" i="1"/>
  <c r="Q52" i="1" s="1"/>
  <c r="R51" i="1"/>
  <c r="O51" i="1"/>
  <c r="Q51" i="1" s="1"/>
  <c r="R50" i="1"/>
  <c r="O50" i="1"/>
  <c r="Q50" i="1" s="1"/>
  <c r="R49" i="1"/>
  <c r="O49" i="1"/>
  <c r="Q49" i="1" s="1"/>
  <c r="R48" i="1"/>
  <c r="O48" i="1"/>
  <c r="Q48" i="1" s="1"/>
  <c r="R47" i="1"/>
  <c r="O47" i="1"/>
  <c r="Q47" i="1" s="1"/>
  <c r="R46" i="1"/>
  <c r="O46" i="1"/>
  <c r="Q46" i="1" s="1"/>
  <c r="R55" i="1"/>
  <c r="O55" i="1"/>
  <c r="Q55" i="1" s="1"/>
  <c r="O44" i="1"/>
  <c r="O45" i="1"/>
  <c r="R44" i="1"/>
  <c r="U44" i="1" s="1"/>
  <c r="R38" i="1"/>
  <c r="O38" i="1"/>
  <c r="Q38" i="1" s="1"/>
  <c r="R37" i="1"/>
  <c r="O37" i="1"/>
  <c r="Q37" i="1" s="1"/>
  <c r="R36" i="1"/>
  <c r="O36" i="1"/>
  <c r="Q36" i="1" s="1"/>
  <c r="R35" i="1"/>
  <c r="O35" i="1"/>
  <c r="Q35" i="1" s="1"/>
  <c r="R34" i="1"/>
  <c r="O34" i="1"/>
  <c r="Q34" i="1" s="1"/>
  <c r="R33" i="1"/>
  <c r="O33" i="1"/>
  <c r="Q33" i="1" s="1"/>
  <c r="R32" i="1"/>
  <c r="O32" i="1"/>
  <c r="Q32" i="1" s="1"/>
  <c r="R31" i="1"/>
  <c r="O31" i="1"/>
  <c r="Q31" i="1" s="1"/>
  <c r="R27" i="1"/>
  <c r="U4" i="1"/>
  <c r="R8" i="1"/>
  <c r="U8" i="1" s="1"/>
  <c r="R11" i="1"/>
  <c r="U11" i="1" s="1"/>
  <c r="O8" i="1"/>
  <c r="Q8" i="1" s="1"/>
  <c r="O11" i="1"/>
  <c r="Q11" i="1" s="1"/>
  <c r="R10" i="1"/>
  <c r="U10" i="1" s="1"/>
  <c r="O10" i="1"/>
  <c r="Q10" i="1" s="1"/>
  <c r="R7" i="1"/>
  <c r="U7" i="1" s="1"/>
  <c r="R6" i="1"/>
  <c r="U6" i="1" s="1"/>
  <c r="R2" i="1"/>
  <c r="U2" i="1" s="1"/>
  <c r="R3" i="1"/>
  <c r="U3" i="1" s="1"/>
  <c r="O4" i="1"/>
  <c r="Q4" i="1" s="1"/>
  <c r="S4" i="1" s="1"/>
  <c r="O3" i="1"/>
  <c r="Q3" i="1" s="1"/>
  <c r="O2" i="1"/>
  <c r="Q2" i="1" s="1"/>
  <c r="R5" i="1"/>
  <c r="U5" i="1" s="1"/>
  <c r="R9" i="1"/>
  <c r="U9" i="1" s="1"/>
  <c r="R12" i="1"/>
  <c r="U12" i="1" s="1"/>
  <c r="R13" i="1"/>
  <c r="U13" i="1" s="1"/>
  <c r="R14" i="1"/>
  <c r="U14" i="1" s="1"/>
  <c r="R15" i="1"/>
  <c r="U15" i="1" s="1"/>
  <c r="R16" i="1"/>
  <c r="U16" i="1" s="1"/>
  <c r="R17" i="1"/>
  <c r="U17" i="1" s="1"/>
  <c r="R18" i="1"/>
  <c r="U18" i="1" s="1"/>
  <c r="R19" i="1"/>
  <c r="U19" i="1" s="1"/>
  <c r="R20" i="1"/>
  <c r="U20" i="1" s="1"/>
  <c r="R21" i="1"/>
  <c r="U21" i="1" s="1"/>
  <c r="R22" i="1"/>
  <c r="U22" i="1" s="1"/>
  <c r="R23" i="1"/>
  <c r="U23" i="1" s="1"/>
  <c r="R24" i="1"/>
  <c r="U24" i="1" s="1"/>
  <c r="R25" i="1"/>
  <c r="U25" i="1" s="1"/>
  <c r="R26" i="1"/>
  <c r="U26" i="1" s="1"/>
  <c r="U27" i="1"/>
  <c r="R28" i="1"/>
  <c r="U28" i="1" s="1"/>
  <c r="R29" i="1"/>
  <c r="U29" i="1" s="1"/>
  <c r="R30" i="1"/>
  <c r="U30" i="1" s="1"/>
  <c r="R39" i="1"/>
  <c r="U39" i="1" s="1"/>
  <c r="R40" i="1"/>
  <c r="U40" i="1" s="1"/>
  <c r="R41" i="1"/>
  <c r="U41" i="1" s="1"/>
  <c r="R42" i="1"/>
  <c r="U42" i="1" s="1"/>
  <c r="U43" i="1"/>
  <c r="R45" i="1"/>
  <c r="U45" i="1" s="1"/>
  <c r="R56" i="1"/>
  <c r="U56" i="1" s="1"/>
  <c r="R57" i="1"/>
  <c r="U57" i="1" s="1"/>
  <c r="R58" i="1"/>
  <c r="U58" i="1" s="1"/>
  <c r="R59" i="1"/>
  <c r="U59" i="1" s="1"/>
  <c r="R60" i="1"/>
  <c r="U60" i="1" s="1"/>
  <c r="R61" i="1"/>
  <c r="U61" i="1" s="1"/>
  <c r="U74" i="1"/>
  <c r="R75" i="1"/>
  <c r="U75" i="1" s="1"/>
  <c r="R76" i="1"/>
  <c r="U76" i="1" s="1"/>
  <c r="U77" i="1"/>
  <c r="R79" i="1"/>
  <c r="U79" i="1" s="1"/>
  <c r="R82" i="1"/>
  <c r="U82" i="1" s="1"/>
  <c r="R83" i="1"/>
  <c r="U83" i="1" s="1"/>
  <c r="R84" i="1"/>
  <c r="U84" i="1" s="1"/>
  <c r="U85" i="1"/>
  <c r="R87" i="1"/>
  <c r="U87" i="1" s="1"/>
  <c r="U88" i="1"/>
  <c r="R89" i="1"/>
  <c r="U89" i="1" s="1"/>
  <c r="R90" i="1"/>
  <c r="U90" i="1" s="1"/>
  <c r="R94" i="1"/>
  <c r="U94" i="1" s="1"/>
  <c r="R95" i="1"/>
  <c r="U95" i="1" s="1"/>
  <c r="U96" i="1"/>
  <c r="R98" i="1"/>
  <c r="U98" i="1" s="1"/>
  <c r="R99" i="1"/>
  <c r="U99" i="1" s="1"/>
  <c r="R100" i="1"/>
  <c r="U100" i="1" s="1"/>
  <c r="U102" i="1"/>
  <c r="U104" i="1"/>
  <c r="U105" i="1"/>
  <c r="U107" i="1"/>
  <c r="R108" i="1"/>
  <c r="U108" i="1" s="1"/>
  <c r="U112" i="1"/>
  <c r="R114" i="1"/>
  <c r="U114" i="1" s="1"/>
  <c r="R115" i="1"/>
  <c r="U115" i="1" s="1"/>
  <c r="R116" i="1"/>
  <c r="U116" i="1" s="1"/>
  <c r="R117" i="1"/>
  <c r="R118" i="1"/>
  <c r="U118" i="1" s="1"/>
  <c r="R120" i="1"/>
  <c r="R121" i="1"/>
  <c r="U121" i="1" s="1"/>
  <c r="R122" i="1"/>
  <c r="U122" i="1" s="1"/>
  <c r="R123" i="1"/>
  <c r="U123" i="1" s="1"/>
  <c r="U125" i="1"/>
  <c r="U127" i="1"/>
  <c r="R131" i="1"/>
  <c r="U131" i="1" s="1"/>
  <c r="R135" i="1"/>
  <c r="U135" i="1" s="1"/>
  <c r="R140" i="1"/>
  <c r="U140" i="1" s="1"/>
  <c r="R144" i="1"/>
  <c r="U144" i="1" s="1"/>
  <c r="R145" i="1"/>
  <c r="U145" i="1" s="1"/>
  <c r="R146" i="1"/>
  <c r="U146" i="1" s="1"/>
  <c r="R147" i="1"/>
  <c r="U147" i="1" s="1"/>
  <c r="R149" i="1"/>
  <c r="U149" i="1" s="1"/>
  <c r="R151" i="1"/>
  <c r="U151" i="1" s="1"/>
  <c r="R154" i="1"/>
  <c r="U154" i="1" s="1"/>
  <c r="R157" i="1"/>
  <c r="R158" i="1"/>
  <c r="R159" i="1"/>
  <c r="U159" i="1" s="1"/>
  <c r="R161" i="1"/>
  <c r="U161" i="1" s="1"/>
  <c r="R162" i="1"/>
  <c r="R163" i="1"/>
  <c r="R164" i="1"/>
  <c r="U164" i="1" s="1"/>
  <c r="R165" i="1"/>
  <c r="U165" i="1" s="1"/>
  <c r="R167" i="1"/>
  <c r="U167" i="1" s="1"/>
  <c r="U168" i="1"/>
  <c r="R176" i="1"/>
  <c r="U176" i="1" s="1"/>
  <c r="R180" i="1"/>
  <c r="U180" i="1" s="1"/>
  <c r="R181" i="1"/>
  <c r="U181" i="1" s="1"/>
  <c r="U182" i="1"/>
  <c r="U184" i="1"/>
  <c r="U185" i="1"/>
  <c r="R195" i="1"/>
  <c r="U195" i="1" s="1"/>
  <c r="R196" i="1"/>
  <c r="U196" i="1" s="1"/>
  <c r="O5" i="1"/>
  <c r="Q5" i="1" s="1"/>
  <c r="O6" i="1"/>
  <c r="Q6" i="1" s="1"/>
  <c r="O7" i="1"/>
  <c r="Q7" i="1" s="1"/>
  <c r="O9" i="1"/>
  <c r="Q9" i="1" s="1"/>
  <c r="O12" i="1"/>
  <c r="Q12" i="1" s="1"/>
  <c r="O13" i="1"/>
  <c r="Q13" i="1" s="1"/>
  <c r="O14" i="1"/>
  <c r="Q14" i="1" s="1"/>
  <c r="O15" i="1"/>
  <c r="Q15" i="1" s="1"/>
  <c r="O16" i="1"/>
  <c r="Q16" i="1" s="1"/>
  <c r="O17" i="1"/>
  <c r="Q17" i="1" s="1"/>
  <c r="O18" i="1"/>
  <c r="Q18" i="1" s="1"/>
  <c r="O19" i="1"/>
  <c r="Q19" i="1" s="1"/>
  <c r="O20" i="1"/>
  <c r="Q20" i="1" s="1"/>
  <c r="O21" i="1"/>
  <c r="Q21" i="1" s="1"/>
  <c r="O22" i="1"/>
  <c r="Q22" i="1" s="1"/>
  <c r="O23" i="1"/>
  <c r="Q23" i="1" s="1"/>
  <c r="O24" i="1"/>
  <c r="Q24" i="1" s="1"/>
  <c r="O25" i="1"/>
  <c r="Q25" i="1" s="1"/>
  <c r="O26" i="1"/>
  <c r="Q26" i="1" s="1"/>
  <c r="O27" i="1"/>
  <c r="Q27" i="1" s="1"/>
  <c r="O28" i="1"/>
  <c r="Q28" i="1" s="1"/>
  <c r="O29" i="1"/>
  <c r="Q29" i="1" s="1"/>
  <c r="O30" i="1"/>
  <c r="Q30" i="1" s="1"/>
  <c r="O39" i="1"/>
  <c r="Q39" i="1" s="1"/>
  <c r="O40" i="1"/>
  <c r="Q40" i="1" s="1"/>
  <c r="O41" i="1"/>
  <c r="Q41" i="1" s="1"/>
  <c r="O42" i="1"/>
  <c r="Q42" i="1" s="1"/>
  <c r="O43" i="1"/>
  <c r="Q43" i="1" s="1"/>
  <c r="Q44" i="1"/>
  <c r="Q45" i="1"/>
  <c r="Q57" i="1"/>
  <c r="Q58" i="1"/>
  <c r="O60" i="1"/>
  <c r="Q60" i="1" s="1"/>
  <c r="Q75" i="1"/>
  <c r="O76" i="1"/>
  <c r="Q76" i="1" s="1"/>
  <c r="O79" i="1"/>
  <c r="Q79" i="1" s="1"/>
  <c r="O80" i="1"/>
  <c r="O82" i="1"/>
  <c r="Q82" i="1" s="1"/>
  <c r="O85" i="1"/>
  <c r="Q85" i="1" s="1"/>
  <c r="Q86" i="1"/>
  <c r="Q87" i="1"/>
  <c r="O88" i="1"/>
  <c r="Q88" i="1" s="1"/>
  <c r="Q89" i="1"/>
  <c r="Q90" i="1"/>
  <c r="O94" i="1"/>
  <c r="Q94" i="1" s="1"/>
  <c r="O95" i="1"/>
  <c r="Q95" i="1" s="1"/>
  <c r="O96" i="1"/>
  <c r="Q96" i="1" s="1"/>
  <c r="O101" i="1"/>
  <c r="Q101" i="1" s="1"/>
  <c r="O102" i="1"/>
  <c r="Q102" i="1" s="1"/>
  <c r="Q103" i="1"/>
  <c r="O104" i="1"/>
  <c r="Q104" i="1" s="1"/>
  <c r="O105" i="1"/>
  <c r="Q105" i="1" s="1"/>
  <c r="O108" i="1"/>
  <c r="Q108" i="1" s="1"/>
  <c r="O110" i="1"/>
  <c r="Q110" i="1" s="1"/>
  <c r="Q115" i="1"/>
  <c r="O116" i="1"/>
  <c r="Q116" i="1" s="1"/>
  <c r="O117" i="1"/>
  <c r="Q117" i="1" s="1"/>
  <c r="O120" i="1"/>
  <c r="Q120" i="1" s="1"/>
  <c r="O121" i="1"/>
  <c r="Q121" i="1" s="1"/>
  <c r="O122" i="1"/>
  <c r="Q122" i="1" s="1"/>
  <c r="O123" i="1"/>
  <c r="Q123" i="1" s="1"/>
  <c r="O127" i="1"/>
  <c r="Q127" i="1" s="1"/>
  <c r="O129" i="1"/>
  <c r="Q129" i="1" s="1"/>
  <c r="O130" i="1"/>
  <c r="Q130" i="1" s="1"/>
  <c r="Q131" i="1"/>
  <c r="O135" i="1"/>
  <c r="Q135" i="1" s="1"/>
  <c r="Q140" i="1"/>
  <c r="O143" i="1"/>
  <c r="O144" i="1"/>
  <c r="Q144" i="1" s="1"/>
  <c r="O145" i="1"/>
  <c r="Q145" i="1" s="1"/>
  <c r="O146" i="1"/>
  <c r="Q146" i="1" s="1"/>
  <c r="O147" i="1"/>
  <c r="Q147" i="1" s="1"/>
  <c r="O151" i="1"/>
  <c r="Q151" i="1" s="1"/>
  <c r="O154" i="1"/>
  <c r="Q154" i="1" s="1"/>
  <c r="O159" i="1"/>
  <c r="Q159" i="1" s="1"/>
  <c r="O161" i="1"/>
  <c r="Q161" i="1" s="1"/>
  <c r="O164" i="1"/>
  <c r="Q164" i="1" s="1"/>
  <c r="O165" i="1"/>
  <c r="Q165" i="1" s="1"/>
  <c r="O167" i="1"/>
  <c r="Q167" i="1" s="1"/>
  <c r="O168" i="1"/>
  <c r="Q168" i="1" s="1"/>
  <c r="O176" i="1"/>
  <c r="Q176" i="1" s="1"/>
  <c r="Q179" i="1"/>
  <c r="O180" i="1"/>
  <c r="Q180" i="1" s="1"/>
  <c r="O181" i="1"/>
  <c r="Q181" i="1" s="1"/>
  <c r="Q183" i="1"/>
  <c r="R183" i="1" s="1"/>
  <c r="U183" i="1" s="1"/>
  <c r="O185" i="1"/>
  <c r="Q185" i="1" s="1"/>
  <c r="O190" i="1"/>
  <c r="Q190" i="1" s="1"/>
  <c r="O196" i="1"/>
  <c r="U245" i="1" l="1"/>
  <c r="S245" i="1"/>
  <c r="U191" i="1"/>
  <c r="S191" i="1"/>
  <c r="S256" i="1"/>
  <c r="S291" i="1"/>
  <c r="U91" i="1"/>
  <c r="S290" i="1"/>
  <c r="O189" i="1"/>
  <c r="Q189" i="1" s="1"/>
  <c r="S209" i="1"/>
  <c r="Q111" i="1"/>
  <c r="S111" i="1" s="1"/>
  <c r="U264" i="1"/>
  <c r="R188" i="1"/>
  <c r="U188" i="1" s="1"/>
  <c r="O91" i="1"/>
  <c r="Q91" i="1" s="1"/>
  <c r="S91" i="1" s="1"/>
  <c r="R148" i="1"/>
  <c r="U148" i="1" s="1"/>
  <c r="R194" i="1"/>
  <c r="U194" i="1" s="1"/>
  <c r="U199" i="1"/>
  <c r="U218" i="1"/>
  <c r="U231" i="1"/>
  <c r="U257" i="1"/>
  <c r="U270" i="1"/>
  <c r="U280" i="1"/>
  <c r="U92" i="1"/>
  <c r="S227" i="1"/>
  <c r="U293" i="1"/>
  <c r="U259" i="1"/>
  <c r="S267" i="1"/>
  <c r="S292" i="1"/>
  <c r="O139" i="1"/>
  <c r="Q139" i="1" s="1"/>
  <c r="S139" i="1" s="1"/>
  <c r="U285" i="1"/>
  <c r="S285" i="1"/>
  <c r="U262" i="1"/>
  <c r="S262" i="1"/>
  <c r="U258" i="1"/>
  <c r="S258" i="1"/>
  <c r="U254" i="1"/>
  <c r="S254" i="1"/>
  <c r="U253" i="1"/>
  <c r="S253" i="1"/>
  <c r="U252" i="1"/>
  <c r="S252" i="1"/>
  <c r="U251" i="1"/>
  <c r="S251" i="1"/>
  <c r="U248" i="1"/>
  <c r="S248" i="1"/>
  <c r="U249" i="1"/>
  <c r="S249" i="1"/>
  <c r="U250" i="1"/>
  <c r="S250" i="1"/>
  <c r="U246" i="1"/>
  <c r="S246" i="1"/>
  <c r="U247" i="1"/>
  <c r="S247" i="1"/>
  <c r="U243" i="1"/>
  <c r="S243" i="1"/>
  <c r="U242" i="1"/>
  <c r="S242" i="1"/>
  <c r="U241" i="1"/>
  <c r="S241" i="1"/>
  <c r="U238" i="1"/>
  <c r="S238" i="1"/>
  <c r="U237" i="1"/>
  <c r="S237" i="1"/>
  <c r="U236" i="1"/>
  <c r="S236" i="1"/>
  <c r="U234" i="1"/>
  <c r="S234" i="1"/>
  <c r="U233" i="1"/>
  <c r="S233" i="1"/>
  <c r="U232" i="1"/>
  <c r="S232" i="1"/>
  <c r="U228" i="1"/>
  <c r="S228" i="1"/>
  <c r="S222" i="1"/>
  <c r="S223" i="1"/>
  <c r="S224" i="1"/>
  <c r="S225" i="1"/>
  <c r="S226" i="1"/>
  <c r="U217" i="1"/>
  <c r="S217" i="1"/>
  <c r="U216" i="1"/>
  <c r="S216" i="1"/>
  <c r="U205" i="1"/>
  <c r="S205" i="1"/>
  <c r="U210" i="1"/>
  <c r="S211" i="1"/>
  <c r="S202" i="1"/>
  <c r="U202" i="1" s="1"/>
  <c r="S187" i="1"/>
  <c r="S186" i="1"/>
  <c r="U166" i="1"/>
  <c r="S166" i="1"/>
  <c r="U156" i="1"/>
  <c r="S156" i="1"/>
  <c r="U155" i="1"/>
  <c r="S155" i="1"/>
  <c r="U142" i="1"/>
  <c r="S142" i="1"/>
  <c r="U141" i="1"/>
  <c r="S141" i="1"/>
  <c r="U139" i="1"/>
  <c r="U138" i="1"/>
  <c r="S138" i="1"/>
  <c r="U137" i="1"/>
  <c r="S137" i="1"/>
  <c r="U136" i="1"/>
  <c r="S136" i="1"/>
  <c r="U134" i="1"/>
  <c r="S134" i="1"/>
  <c r="U133" i="1"/>
  <c r="S133" i="1"/>
  <c r="U132" i="1"/>
  <c r="S132" i="1"/>
  <c r="S128" i="1"/>
  <c r="S119" i="1"/>
  <c r="S73" i="1"/>
  <c r="R73" i="1"/>
  <c r="U73" i="1" s="1"/>
  <c r="S72" i="1"/>
  <c r="S71" i="1"/>
  <c r="S70" i="1"/>
  <c r="S69" i="1"/>
  <c r="S68" i="1"/>
  <c r="S67" i="1"/>
  <c r="U63" i="1"/>
  <c r="S63" i="1"/>
  <c r="U64" i="1"/>
  <c r="S64" i="1"/>
  <c r="U109" i="1"/>
  <c r="U97" i="1"/>
  <c r="S97" i="1"/>
  <c r="U93" i="1"/>
  <c r="S93" i="1"/>
  <c r="U46" i="1"/>
  <c r="S46" i="1"/>
  <c r="U47" i="1"/>
  <c r="S47" i="1"/>
  <c r="U48" i="1"/>
  <c r="S48" i="1"/>
  <c r="U49" i="1"/>
  <c r="S49" i="1"/>
  <c r="U50" i="1"/>
  <c r="S50" i="1"/>
  <c r="U51" i="1"/>
  <c r="S51" i="1"/>
  <c r="U52" i="1"/>
  <c r="S52" i="1"/>
  <c r="U53" i="1"/>
  <c r="S53" i="1"/>
  <c r="U54" i="1"/>
  <c r="S54" i="1"/>
  <c r="U55" i="1"/>
  <c r="U31" i="1"/>
  <c r="S31" i="1"/>
  <c r="U32" i="1"/>
  <c r="S32" i="1"/>
  <c r="U33" i="1"/>
  <c r="S33" i="1"/>
  <c r="U34" i="1"/>
  <c r="S34" i="1"/>
  <c r="U35" i="1"/>
  <c r="S35" i="1"/>
  <c r="U36" i="1"/>
  <c r="S36" i="1"/>
  <c r="U37" i="1"/>
  <c r="S37" i="1"/>
  <c r="U38" i="1"/>
  <c r="S38" i="1"/>
  <c r="S196" i="1"/>
  <c r="S195" i="1"/>
  <c r="S194" i="1"/>
  <c r="S190" i="1"/>
  <c r="S189" i="1"/>
  <c r="S188" i="1"/>
  <c r="S185" i="1"/>
  <c r="S184" i="1"/>
  <c r="S183" i="1"/>
  <c r="S182" i="1"/>
  <c r="S181" i="1"/>
  <c r="S180" i="1"/>
  <c r="S179" i="1"/>
  <c r="S176" i="1"/>
  <c r="S168" i="1"/>
  <c r="S167" i="1"/>
  <c r="S165" i="1"/>
  <c r="S164" i="1"/>
  <c r="S163" i="1"/>
  <c r="S162" i="1"/>
  <c r="S161" i="1"/>
  <c r="S159" i="1"/>
  <c r="S158" i="1"/>
  <c r="S157" i="1"/>
  <c r="S154" i="1"/>
  <c r="S151" i="1"/>
  <c r="S149" i="1"/>
  <c r="S147" i="1"/>
  <c r="S146" i="1"/>
  <c r="S145" i="1"/>
  <c r="S144" i="1"/>
  <c r="S143" i="1"/>
  <c r="S140" i="1"/>
  <c r="S135" i="1"/>
  <c r="S131" i="1"/>
  <c r="S130" i="1"/>
  <c r="S129" i="1"/>
  <c r="S127" i="1"/>
  <c r="S125" i="1"/>
  <c r="S124" i="1"/>
  <c r="S123" i="1"/>
  <c r="S122" i="1"/>
  <c r="S121" i="1"/>
  <c r="S120" i="1"/>
  <c r="S118" i="1"/>
  <c r="S117" i="1"/>
  <c r="S116" i="1"/>
  <c r="S115" i="1"/>
  <c r="S114" i="1"/>
  <c r="S113" i="1"/>
  <c r="S110" i="1"/>
  <c r="S108" i="1"/>
  <c r="S107" i="1"/>
  <c r="S106" i="1"/>
  <c r="S105" i="1"/>
  <c r="S104" i="1"/>
  <c r="S103" i="1"/>
  <c r="S102" i="1"/>
  <c r="S101" i="1"/>
  <c r="S100" i="1"/>
  <c r="S99" i="1"/>
  <c r="S98" i="1"/>
  <c r="S96" i="1"/>
  <c r="S95" i="1"/>
  <c r="S94" i="1"/>
  <c r="S90" i="1"/>
  <c r="S89" i="1"/>
  <c r="S88" i="1"/>
  <c r="S87" i="1"/>
  <c r="S85" i="1"/>
  <c r="S84" i="1"/>
  <c r="S83" i="1"/>
  <c r="S82" i="1"/>
  <c r="S80" i="1"/>
  <c r="S79" i="1"/>
  <c r="S76" i="1"/>
  <c r="S75" i="1"/>
  <c r="S74" i="1"/>
  <c r="S61" i="1"/>
  <c r="S60" i="1"/>
  <c r="S59" i="1"/>
  <c r="S58" i="1"/>
  <c r="S57" i="1"/>
  <c r="S56" i="1"/>
  <c r="S45" i="1"/>
  <c r="S44" i="1"/>
  <c r="S42" i="1"/>
  <c r="S41" i="1"/>
  <c r="S40" i="1"/>
  <c r="S39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9" i="1"/>
  <c r="S5" i="1"/>
  <c r="S3" i="1"/>
  <c r="S2" i="1"/>
  <c r="S6" i="1"/>
  <c r="S7" i="1"/>
  <c r="S10" i="1"/>
  <c r="S11" i="1"/>
  <c r="S8" i="1"/>
  <c r="P126" i="1"/>
  <c r="R126" i="1" s="1"/>
  <c r="Q126" i="1"/>
  <c r="S148" i="1" l="1"/>
  <c r="U126" i="1"/>
  <c r="S126" i="1"/>
  <c r="P150" i="1"/>
  <c r="R150" i="1" s="1"/>
  <c r="U150" i="1" l="1"/>
  <c r="S150" i="1"/>
  <c r="R152" i="1" l="1"/>
  <c r="S152" i="1" l="1"/>
  <c r="U152" i="1"/>
  <c r="P153" i="1"/>
  <c r="R153" i="1" s="1"/>
  <c r="U153" i="1" l="1"/>
  <c r="S153" i="1"/>
  <c r="P160" i="1"/>
  <c r="R160" i="1" s="1"/>
  <c r="Q160" i="1"/>
  <c r="S160" i="1" l="1"/>
  <c r="U160" i="1"/>
  <c r="R78" i="1"/>
  <c r="U78" i="1" s="1"/>
  <c r="O78" i="1"/>
  <c r="Q78" i="1" s="1"/>
  <c r="R169" i="1"/>
  <c r="U169" i="1"/>
  <c r="S169" i="1"/>
  <c r="R170" i="1"/>
  <c r="U170" i="1"/>
  <c r="S170" i="1"/>
  <c r="R171" i="1"/>
  <c r="U171" i="1"/>
  <c r="S171" i="1"/>
  <c r="R172" i="1"/>
  <c r="S172" i="1" s="1"/>
  <c r="U172" i="1"/>
  <c r="R173" i="1"/>
  <c r="U173" i="1"/>
  <c r="S173" i="1"/>
  <c r="S78" i="1" l="1"/>
  <c r="S174" i="1"/>
  <c r="U174" i="1"/>
  <c r="R175" i="1"/>
  <c r="U175" i="1"/>
  <c r="Q175" i="1"/>
  <c r="S175" i="1" s="1"/>
  <c r="P177" i="1"/>
  <c r="R177" i="1" s="1"/>
  <c r="U177" i="1" l="1"/>
  <c r="S177" i="1"/>
  <c r="P178" i="1"/>
  <c r="R178" i="1" s="1"/>
  <c r="U178" i="1" l="1"/>
  <c r="S178" i="1"/>
  <c r="P198" i="1"/>
  <c r="R198" i="1" s="1"/>
  <c r="U198" i="1" l="1"/>
  <c r="S198" i="1"/>
  <c r="P203" i="1"/>
  <c r="R203" i="1" s="1"/>
  <c r="U203" i="1" l="1"/>
  <c r="S203" i="1"/>
  <c r="P204" i="1"/>
  <c r="R204" i="1" s="1"/>
  <c r="S204" i="1" l="1"/>
  <c r="S213" i="1"/>
  <c r="U213" i="1"/>
  <c r="Q220" i="1"/>
  <c r="P220" i="1"/>
  <c r="R220" i="1"/>
  <c r="U220" i="1" s="1"/>
  <c r="S220" i="1"/>
  <c r="P271" i="1"/>
  <c r="R271" i="1"/>
  <c r="S271" i="1" s="1"/>
  <c r="U271" i="1"/>
  <c r="U299" i="1"/>
</calcChain>
</file>

<file path=xl/sharedStrings.xml><?xml version="1.0" encoding="utf-8"?>
<sst xmlns="http://schemas.openxmlformats.org/spreadsheetml/2006/main" count="2556" uniqueCount="768">
  <si>
    <t>No</t>
  </si>
  <si>
    <t>Date</t>
  </si>
  <si>
    <t>Category</t>
  </si>
  <si>
    <t>Quotation Type</t>
  </si>
  <si>
    <t>Quotation No</t>
  </si>
  <si>
    <t>Training Type</t>
  </si>
  <si>
    <t>Company/Client</t>
  </si>
  <si>
    <t>Account Manager</t>
  </si>
  <si>
    <t>Project Title</t>
  </si>
  <si>
    <t>PIC - Full Name</t>
  </si>
  <si>
    <t>PIC - Contact No</t>
  </si>
  <si>
    <t>PIC - Email Add</t>
  </si>
  <si>
    <t>Duration - Days</t>
  </si>
  <si>
    <t>No of Unit</t>
  </si>
  <si>
    <t>Unit Price without SST</t>
  </si>
  <si>
    <t>Unit Price with SST 8%</t>
  </si>
  <si>
    <t>Total Price without SST</t>
  </si>
  <si>
    <t>Total Price with SST 8%</t>
  </si>
  <si>
    <t>SST 8% Amount</t>
  </si>
  <si>
    <t>Discount %</t>
  </si>
  <si>
    <t>Final Price</t>
  </si>
  <si>
    <t>Status</t>
  </si>
  <si>
    <t>Payment Status</t>
  </si>
  <si>
    <t>Project Status</t>
  </si>
  <si>
    <t>Prepared by</t>
  </si>
  <si>
    <t>Training</t>
  </si>
  <si>
    <t>MSSB/QT/TRA/2026/0001</t>
  </si>
  <si>
    <t>Public Training</t>
  </si>
  <si>
    <t>KENANGA INVESTOR BERHAD</t>
  </si>
  <si>
    <t>Train The Trainer (TTT)</t>
  </si>
  <si>
    <t>Ms Liyana Ayunni</t>
  </si>
  <si>
    <t>6012-227 0011</t>
  </si>
  <si>
    <t>vl.victoryintelligence@gmal.com</t>
  </si>
  <si>
    <t>Sent</t>
  </si>
  <si>
    <t>Nur Izzati Zailani</t>
  </si>
  <si>
    <t>MSSB/QT/TRA/2026/0002</t>
  </si>
  <si>
    <t>In-House</t>
  </si>
  <si>
    <t>SGS</t>
  </si>
  <si>
    <t>In-House AI Training for 20 pax</t>
  </si>
  <si>
    <t>Mr Mohd Najib</t>
  </si>
  <si>
    <t>6012-636 7802</t>
  </si>
  <si>
    <t>najib.othman@sgs.com</t>
  </si>
  <si>
    <t>MSSB/QT/TRA/2026/0003</t>
  </si>
  <si>
    <t>MDEC</t>
  </si>
  <si>
    <t>Ms Raja Nur Raja Talib</t>
  </si>
  <si>
    <t>6019-272 1044</t>
  </si>
  <si>
    <t>rajanur@mdec.com.my</t>
  </si>
  <si>
    <t>MSSB/QT/TRA/2026/0005</t>
  </si>
  <si>
    <t>Sustainable Business Network Association Malaysia</t>
  </si>
  <si>
    <t>AI Training for Office Productivity</t>
  </si>
  <si>
    <t>Ms Sarimah Misman</t>
  </si>
  <si>
    <t>6019-629 1662</t>
  </si>
  <si>
    <t>admin@sustainable-business.net</t>
  </si>
  <si>
    <t>Muhammad Fayyadh Muhammad Fahmi</t>
  </si>
  <si>
    <t>MSSB/QT/TRA/2026/0004</t>
  </si>
  <si>
    <t>MSSB/QT/TRA/2026/0006</t>
  </si>
  <si>
    <t>Boh Plantation Sdn Bhd</t>
  </si>
  <si>
    <t>Mr Kiew Chin Soon</t>
  </si>
  <si>
    <t>6012-9289 148</t>
  </si>
  <si>
    <t>kiewcs@boh.com.my</t>
  </si>
  <si>
    <t>MSSB/QT/TRA/2026/0007</t>
  </si>
  <si>
    <t>MSSB/QT/TRA/2026/0008</t>
  </si>
  <si>
    <t>Primalcom</t>
  </si>
  <si>
    <t>Mr Lim Yong Sing</t>
  </si>
  <si>
    <t>6012-235 6696</t>
  </si>
  <si>
    <t>yslim@primal.com</t>
  </si>
  <si>
    <t>MSSB/QT/TRA/2026/0009</t>
  </si>
  <si>
    <t>Ketengah</t>
  </si>
  <si>
    <t>En Hazroll Eizwal Bin Jasni</t>
  </si>
  <si>
    <t>609-823 1052</t>
  </si>
  <si>
    <t>hazroll@ketengahgov.my</t>
  </si>
  <si>
    <t>MSSB/QT/TRA/2026/0010</t>
  </si>
  <si>
    <t>In-House AI Training for 300 pax</t>
  </si>
  <si>
    <t>MSSB/QT/TRA/2026/0011</t>
  </si>
  <si>
    <t>Universiti Teknologi Malaysia</t>
  </si>
  <si>
    <t>En Aizul Nahar</t>
  </si>
  <si>
    <t>auzilnahari.kl@utm.my</t>
  </si>
  <si>
    <t>MASB/QT/TRA/2026/0001</t>
  </si>
  <si>
    <t>TNB ILSAS</t>
  </si>
  <si>
    <t>Farrah</t>
  </si>
  <si>
    <t>Gen AI</t>
  </si>
  <si>
    <t>In Progress</t>
  </si>
  <si>
    <t>MASB/QT/TRA/2026/0002</t>
  </si>
  <si>
    <t>Power BI with AI</t>
  </si>
  <si>
    <t>MASB/QT/TRA/2026/0003</t>
  </si>
  <si>
    <t>AI Workflow Automation</t>
  </si>
  <si>
    <t>MASB/QT/TRA/2026/0004</t>
  </si>
  <si>
    <t>AI for Leaders</t>
  </si>
  <si>
    <t>MASB/QT/TRA/2026/0005</t>
  </si>
  <si>
    <t>AI for Strategic Executives</t>
  </si>
  <si>
    <t>MyDID</t>
  </si>
  <si>
    <t>Service</t>
  </si>
  <si>
    <t>MSSB/QT/MYD/2026/0001</t>
  </si>
  <si>
    <t>MyDigital ID</t>
  </si>
  <si>
    <t>MyDigital ID Onboarding Services</t>
  </si>
  <si>
    <t>Pn Susie Annie Tamin</t>
  </si>
  <si>
    <t>6016-379 3634</t>
  </si>
  <si>
    <t>susie.tamin@myid.my</t>
  </si>
  <si>
    <t>MASB/QT/TRA/2026/0020</t>
  </si>
  <si>
    <t>TATI</t>
  </si>
  <si>
    <t>TTT In-House</t>
  </si>
  <si>
    <t>Pn Suhana</t>
  </si>
  <si>
    <t>MASB/QT/TRA/2026/0007</t>
  </si>
  <si>
    <t>KPKT</t>
  </si>
  <si>
    <t>Pn Aaishah</t>
  </si>
  <si>
    <t>aaishah@kpkt.gov.my</t>
  </si>
  <si>
    <t>MASB/QT/TRA/2026/0008</t>
  </si>
  <si>
    <t>AI Intermediate &amp; Advanced</t>
  </si>
  <si>
    <t>MASB/QT/TRA/2026/0009</t>
  </si>
  <si>
    <t>Embodera Group</t>
  </si>
  <si>
    <t>AI for Office Productivity: Training 
for Workspace (Beginner)</t>
  </si>
  <si>
    <t>En Zamree</t>
  </si>
  <si>
    <t>management@embodera.com</t>
  </si>
  <si>
    <t>MASB/QT/TRA/2026/0010</t>
  </si>
  <si>
    <t>MTDC</t>
  </si>
  <si>
    <t>MASB/QT/TRA/2026/0011</t>
  </si>
  <si>
    <t>SIRIM Academy</t>
  </si>
  <si>
    <t>Overview of Semiconductor Industry for ISO and ESG consultants of SIRIM Academy</t>
  </si>
  <si>
    <t>MASB/QT/TRA/2026/0012</t>
  </si>
  <si>
    <t>MARA</t>
  </si>
  <si>
    <t>MASB/QT/TRA/2026/0013</t>
  </si>
  <si>
    <t>MIGHT</t>
  </si>
  <si>
    <t>En Saiful Hayaz</t>
  </si>
  <si>
    <t>saiful.hayaz@might.org.my</t>
  </si>
  <si>
    <t>MASB/QT/TRA/2026/0014</t>
  </si>
  <si>
    <t>UTM-MJIIT</t>
  </si>
  <si>
    <t>ISO9001</t>
  </si>
  <si>
    <t>MASB/QT/TRA/2026/0020REV1</t>
  </si>
  <si>
    <t>Omar</t>
  </si>
  <si>
    <t>MASB/QT/TRA/2026/0006</t>
  </si>
  <si>
    <t>JPN</t>
  </si>
  <si>
    <t>AI Chatbot Development Training (2 days)</t>
  </si>
  <si>
    <t>En Shaiful Annuar</t>
  </si>
  <si>
    <t>shaiful.annuar@jpn.gov.my</t>
  </si>
  <si>
    <t>Saidatul Farrah Muhammad Johar</t>
  </si>
  <si>
    <t>MASB/QT/TRA/2026/0015</t>
  </si>
  <si>
    <t>BMCCI</t>
  </si>
  <si>
    <t>MIMOS IC Design Upskilling Program</t>
  </si>
  <si>
    <t>Mr Shabbir A Khan</t>
  </si>
  <si>
    <t>USD54,534</t>
  </si>
  <si>
    <t>MASB/QT/TRA/2026/0016</t>
  </si>
  <si>
    <t>Kementerian Belia &amp; Sukan</t>
  </si>
  <si>
    <t>Pn Noraida</t>
  </si>
  <si>
    <t>MASB/QT/TRA/2026/0017</t>
  </si>
  <si>
    <t>MASB/QT/TRA/2026/0018</t>
  </si>
  <si>
    <t>MASB/QT/TRA/2026/0019</t>
  </si>
  <si>
    <t>NUMIX</t>
  </si>
  <si>
    <t>En Afzainizam Zakaria</t>
  </si>
  <si>
    <t>MASB/QT/TRA/2026/0021</t>
  </si>
  <si>
    <t>PETRA</t>
  </si>
  <si>
    <t>Pn. Nor Yusnidah</t>
  </si>
  <si>
    <t>MASB/QT/TRA/2026/0022</t>
  </si>
  <si>
    <t>MASB/QT/TRA/2026/0023</t>
  </si>
  <si>
    <t>TTT AI</t>
  </si>
  <si>
    <t>Consultancy</t>
  </si>
  <si>
    <t>MASB/QT/TRA/2026/0024</t>
  </si>
  <si>
    <t>Kolej Ambitious</t>
  </si>
  <si>
    <t>MASB/QT/TRA/2026/0016REV1</t>
  </si>
  <si>
    <t>MASB/QT/TRA/2026/0018REV1</t>
  </si>
  <si>
    <t>MASB/QT/TRA/2026/0021REV1</t>
  </si>
  <si>
    <t>MASB/QT/TRA/2026/0022REV1</t>
  </si>
  <si>
    <t>MASB/QT/TRA/2026/0024REV1</t>
  </si>
  <si>
    <t>MASB/QT/TRA/2026/0025</t>
  </si>
  <si>
    <t>POIS SDN BHD</t>
  </si>
  <si>
    <t>MD SYAHIR BIN MD SAID</t>
  </si>
  <si>
    <t>MASB/QT/TRA/2026/0026</t>
  </si>
  <si>
    <t>eCEOs</t>
  </si>
  <si>
    <t>shakam6907@gmail.com</t>
  </si>
  <si>
    <t>Ow Zi Qi</t>
  </si>
  <si>
    <t>MASB/QT/TRA/2026/0027</t>
  </si>
  <si>
    <t>MCMC L&amp;D Department</t>
  </si>
  <si>
    <t>L&amp;D Department</t>
  </si>
  <si>
    <t>MASB/QT/TRA/2026/0028</t>
  </si>
  <si>
    <t>Dewan Perniagaan Islam Malaysia</t>
  </si>
  <si>
    <t>AI Training for Office Productivity (Asnaf)</t>
  </si>
  <si>
    <t>En Haji Rosli Bin Amir</t>
  </si>
  <si>
    <t>MASB/QT/TRA/2026/0029</t>
  </si>
  <si>
    <t>AI Training for Office Productivity (Tenaga Pengajar)</t>
  </si>
  <si>
    <t>MASB/QT/TRA/2026/0030</t>
  </si>
  <si>
    <t>AI Training for Office Productivity (Kakitangan DPIM)</t>
  </si>
  <si>
    <t>MASB/QT/TRA/2026/0031</t>
  </si>
  <si>
    <t>MINDEF</t>
  </si>
  <si>
    <t>Siti Habsah</t>
  </si>
  <si>
    <t>MASB/QT/TRA/2026/0032</t>
  </si>
  <si>
    <t>Train The Trainer (TTT) - In House</t>
  </si>
  <si>
    <t>MASB/QT/TRA/2026/0033</t>
  </si>
  <si>
    <t>Kementerian Perdagangan Dalam Negeri dan Kos Sara Hidup (KPDN)</t>
  </si>
  <si>
    <t>Azri</t>
  </si>
  <si>
    <t>MASB/QT/TRA/2026/0034</t>
  </si>
  <si>
    <t>MASB/QT/TRA/2026/0035</t>
  </si>
  <si>
    <t>KETENGAH</t>
  </si>
  <si>
    <t>YM Dato Tengku Nadzri</t>
  </si>
  <si>
    <t>MASB/QT/TRA/2026/0036</t>
  </si>
  <si>
    <t>MIMOS Services Sdn Bhd</t>
  </si>
  <si>
    <t>Adilah</t>
  </si>
  <si>
    <t>Staff Development &amp; Team Alignment Programme</t>
  </si>
  <si>
    <t>Fairus</t>
  </si>
  <si>
    <t>-</t>
  </si>
  <si>
    <t>Won</t>
  </si>
  <si>
    <t>Delivered</t>
  </si>
  <si>
    <t>Others</t>
  </si>
  <si>
    <t>MASB/QT/TRA/2026/0037</t>
  </si>
  <si>
    <t>Space Rental</t>
  </si>
  <si>
    <t>Efficient Frontier Consulting</t>
  </si>
  <si>
    <t>Space Rental for K-Youth 2025 Graduation (Auditorium)</t>
  </si>
  <si>
    <t>Maryana</t>
  </si>
  <si>
    <t>Payment Received</t>
  </si>
  <si>
    <t>MASB/QT/TRA/2026/0038</t>
  </si>
  <si>
    <t>INSKEN</t>
  </si>
  <si>
    <t>Fais Azlan</t>
  </si>
  <si>
    <t>fais@insken.gov.my</t>
  </si>
  <si>
    <t>MASB/QT/TRA/2026/0039</t>
  </si>
  <si>
    <t>MASB/QT/TRA/2026/0040</t>
  </si>
  <si>
    <t>MIMOS Berhad</t>
  </si>
  <si>
    <t>Applied AI for Office Productivity &amp; Workflow Efficiency (Intermediate)</t>
  </si>
  <si>
    <t>Zalina</t>
  </si>
  <si>
    <t>MASB/QT/TRA/2026/0041</t>
  </si>
  <si>
    <t>Finance for Strategic Decision Makers</t>
  </si>
  <si>
    <t>MASB/QT/TRA/2026/0042</t>
  </si>
  <si>
    <t>nanoSkunkWorkX</t>
  </si>
  <si>
    <t>Wafer Fabrication Overview Site Visit</t>
  </si>
  <si>
    <t>Adam</t>
  </si>
  <si>
    <t>adammohammad.zahanuddin@nanoskunkworkx.com</t>
  </si>
  <si>
    <t>29/1/2026</t>
  </si>
  <si>
    <t>MASB/QT/TRA/2026/0043</t>
  </si>
  <si>
    <t>AJAI TECH SOLUTIONS</t>
  </si>
  <si>
    <t>AI System Thinking:Training for Efficiency</t>
  </si>
  <si>
    <t>En Jamali</t>
  </si>
  <si>
    <t>MASB/QT/TRA/2026/0044</t>
  </si>
  <si>
    <t>Pahang Skills</t>
  </si>
  <si>
    <t>Train-The-Trainer (TTT): Certified AI Trainer &amp; AI Integration</t>
  </si>
  <si>
    <t>Puan Arza</t>
  </si>
  <si>
    <t>MASB/QT/TRA/2026/0044Rev1</t>
  </si>
  <si>
    <t>MASB/QT/TRA/2026/0045</t>
  </si>
  <si>
    <t>Malaysian Productivity Corporation</t>
  </si>
  <si>
    <t>Fuzy</t>
  </si>
  <si>
    <t>AI System  Thinking:Training for Efficiency</t>
  </si>
  <si>
    <t>Khairil Anuar/Azrol</t>
  </si>
  <si>
    <t>Ainur</t>
  </si>
  <si>
    <t>MASB/QT/TRA/2026/0045Rev1</t>
  </si>
  <si>
    <t>Malaysian Productivity Corporation (Revised by Shol)</t>
  </si>
  <si>
    <t>17/3/2026</t>
  </si>
  <si>
    <t>MASB/QT/TRA/2026/0046</t>
  </si>
  <si>
    <t>Koperasi Universiti Tun Hussein Onn Malaysia</t>
  </si>
  <si>
    <t xml:space="preserve">Latifah </t>
  </si>
  <si>
    <t>MASB/QT/TRA/2026/0047</t>
  </si>
  <si>
    <t>UNIVERSITY COLLEGE TATI</t>
  </si>
  <si>
    <t>Izzah</t>
  </si>
  <si>
    <t>MASB/QT/TRA/2026/0048</t>
  </si>
  <si>
    <t>Roscil Systems Sdn Bhd</t>
  </si>
  <si>
    <t xml:space="preserve">Mohamed Roslan </t>
  </si>
  <si>
    <t>MASB/QT/TRA/2026/0049</t>
  </si>
  <si>
    <t>Institut Koperasi Malaysia</t>
  </si>
  <si>
    <t xml:space="preserve">Mohamad Haswardi </t>
  </si>
  <si>
    <t>18/3/2026</t>
  </si>
  <si>
    <t>MASB/QT/TRA/2026/0050</t>
  </si>
  <si>
    <t xml:space="preserve"> Institute Aminuddin Baki</t>
  </si>
  <si>
    <t>Vibe Coding</t>
  </si>
  <si>
    <t>Puan Farah Zeehan</t>
  </si>
  <si>
    <t>27/3/2026</t>
  </si>
  <si>
    <t>MASB/QT/TRA/2026/0051</t>
  </si>
  <si>
    <t>MFZ Dynamic</t>
  </si>
  <si>
    <t>Mohamad Faiz</t>
  </si>
  <si>
    <t>MASB/QT/TRA/2026/0052</t>
  </si>
  <si>
    <t>JKR</t>
  </si>
  <si>
    <t>Project Management Professional (PMP)</t>
  </si>
  <si>
    <t>Abdul Murad</t>
  </si>
  <si>
    <t>MASB/QT/TRA/2026/0053</t>
  </si>
  <si>
    <t>Frontken Malaysia Sdn. Bhd (Kulim Plant)</t>
  </si>
  <si>
    <t>Advanced 8D Problem Solving For Operational Excellence</t>
  </si>
  <si>
    <t>Izwan</t>
  </si>
  <si>
    <t>MASB/QT/TRA/2026/0054</t>
  </si>
  <si>
    <t>Effective Presentation Skills for Workplace Impact</t>
  </si>
  <si>
    <t>MASB/QT/TRA/2026/0055</t>
  </si>
  <si>
    <t>Tenaga Switchgear</t>
  </si>
  <si>
    <t>Effective PM Practice</t>
  </si>
  <si>
    <t>Hisham</t>
  </si>
  <si>
    <t>Please Choose</t>
  </si>
  <si>
    <t>MASB/QT/TRA/2026/0056</t>
  </si>
  <si>
    <t>MOSTI</t>
  </si>
  <si>
    <t>En. Anas</t>
  </si>
  <si>
    <t>MASB/QT/TRA/2026/0057</t>
  </si>
  <si>
    <t>BPM Kementerian Sumber Manusia</t>
  </si>
  <si>
    <t>Pn. Marina</t>
  </si>
  <si>
    <t>MASB/QT/TRA/2026/0058</t>
  </si>
  <si>
    <t>MASB/QT/TRA/2026/0059</t>
  </si>
  <si>
    <t>TM</t>
  </si>
  <si>
    <t>Dr. Asma Md. Isa</t>
  </si>
  <si>
    <t>MASB/QT/TRA/2026/0060</t>
  </si>
  <si>
    <t>UTM KL</t>
  </si>
  <si>
    <t>Dr.Aizul</t>
  </si>
  <si>
    <t>MASB/QT/TRA/2026/0061</t>
  </si>
  <si>
    <t>Cert Printing</t>
  </si>
  <si>
    <t>Attune Consultants Sdn Bhd</t>
  </si>
  <si>
    <t>Printing Certificate</t>
  </si>
  <si>
    <t>Dr. Harjinthar</t>
  </si>
  <si>
    <t>MASB/QT/TRA/2026/0062</t>
  </si>
  <si>
    <t>INTURA</t>
  </si>
  <si>
    <t>Sholihin</t>
  </si>
  <si>
    <t>Pn. Siti</t>
  </si>
  <si>
    <t>Lost</t>
  </si>
  <si>
    <t>MASB/QT/TRA/2026/0063</t>
  </si>
  <si>
    <t>MASB/QT/TRA/2026/0011Rev1</t>
  </si>
  <si>
    <t>Pn Noora</t>
  </si>
  <si>
    <t>noora@sirim.my</t>
  </si>
  <si>
    <t>MASB/QT/TRA/2026/0064</t>
  </si>
  <si>
    <t>Dr Hamidah Karim</t>
  </si>
  <si>
    <t>MASB/QT/TRA/2026/0065</t>
  </si>
  <si>
    <t>MASB/QT/TRA/2026/0066</t>
  </si>
  <si>
    <t>MASB/QT/TRA/2026/0067</t>
  </si>
  <si>
    <t xml:space="preserve">ISO 9001:2015 INTERNAL AUDITORS TRAINING </t>
  </si>
  <si>
    <t>MASB/QT/TRA/2026/0068</t>
  </si>
  <si>
    <t>ISO 14001:2015 INTERNAL AUDIT TRAINING</t>
  </si>
  <si>
    <t>MASB/QT/TRA/2026/0069</t>
  </si>
  <si>
    <t>Exzellent Profis Sdn Bhd</t>
  </si>
  <si>
    <t>AI Awareness &amp; Practical Applications for Office Productivity</t>
  </si>
  <si>
    <t>Dr Raihan</t>
  </si>
  <si>
    <t>MASB/QT/TRA/2026/0071</t>
  </si>
  <si>
    <t>Elite Indigo Consulting (M) Plt</t>
  </si>
  <si>
    <t xml:space="preserve">Semiconductor Failure Analysis and Advanced Materials Characterization </t>
  </si>
  <si>
    <t>Wan Azli</t>
  </si>
  <si>
    <t>MASB/QT/TRA/2026/0072</t>
  </si>
  <si>
    <t>Interscience Sdn Bhd</t>
  </si>
  <si>
    <t>Space Rental for Semiconductor Seminar (Auditorium &amp; 5G Room)</t>
  </si>
  <si>
    <t>Chris Ng</t>
  </si>
  <si>
    <t>MASB/QT/TRA/2026/0073</t>
  </si>
  <si>
    <t>Train-The-Trainer: Certified AI Trainer Program</t>
  </si>
  <si>
    <t>Fakhrul Adly</t>
  </si>
  <si>
    <t>MASB/QT/TRA/2026/0074</t>
  </si>
  <si>
    <t>MASB/QT/TRA/2026/0075</t>
  </si>
  <si>
    <t>AI Training for PLC Students</t>
  </si>
  <si>
    <t>Invoiced</t>
  </si>
  <si>
    <t>MASB/QT/TRA/2026/0032rev2</t>
  </si>
  <si>
    <t>BPM, MINDEF Cohort 1 (revised by Adilah)</t>
  </si>
  <si>
    <t>MASB/QT/TRA/2026/0076rev2</t>
  </si>
  <si>
    <t>PUNB</t>
  </si>
  <si>
    <t>Azman Abdullah</t>
  </si>
  <si>
    <t>MASB/QT/TRA/2026/0067Rev 1</t>
  </si>
  <si>
    <t>Frontken Malaysia Sdn. Bhd (Kulim Plant) (revised by Shol)</t>
  </si>
  <si>
    <t>MASB/QT/TRA/2026/0068Rev 1</t>
  </si>
  <si>
    <t>AI Training (Vibe Coding for Programmers)</t>
  </si>
  <si>
    <t>HR</t>
  </si>
  <si>
    <t>MASB/QT/TRA/2026/0070</t>
  </si>
  <si>
    <t>AI Training for Management</t>
  </si>
  <si>
    <t>UZMA</t>
  </si>
  <si>
    <t>F&amp;B</t>
  </si>
  <si>
    <t>Training Venue</t>
  </si>
  <si>
    <t>KOOP TENTERA</t>
  </si>
  <si>
    <t>MASB/QT/TRA/2026/0071Rev1</t>
  </si>
  <si>
    <t>MASB/QT/TRA/2026/0077</t>
  </si>
  <si>
    <t>UniKL MIDI</t>
  </si>
  <si>
    <t>Industrial Design Workshop</t>
  </si>
  <si>
    <t>Rosnah</t>
  </si>
  <si>
    <t>PO Received</t>
  </si>
  <si>
    <t>MASB/QT/TRA/2026/0057REV1</t>
  </si>
  <si>
    <t>MASB/QT/TRA/2026/0079</t>
  </si>
  <si>
    <t>VNTHoldings</t>
  </si>
  <si>
    <t>Raja</t>
  </si>
  <si>
    <t>13/3/2026</t>
  </si>
  <si>
    <t>MASB/QT/TRA/2026/0058REV1</t>
  </si>
  <si>
    <t>Zuwiyana</t>
  </si>
  <si>
    <t>MASB/QT/TRA/2026/0032REV5</t>
  </si>
  <si>
    <t>Faiz/ Siti Habsah</t>
  </si>
  <si>
    <t>MASB/QT/TRA/2026/0080</t>
  </si>
  <si>
    <t xml:space="preserve">Japan-Malaysia Technical Institute (JMTI) </t>
  </si>
  <si>
    <t>Fuzy / Dila</t>
  </si>
  <si>
    <t>Train-the-Trainer: Semiconductor Front-End Technologies</t>
  </si>
  <si>
    <t>Muhamad Nabil Bin Mansor</t>
  </si>
  <si>
    <t>Adilah/Fuziah</t>
  </si>
  <si>
    <t>MASB/QT/TRA/2026/0081</t>
  </si>
  <si>
    <t>Train-the-Trainer: Semiconductor Back-End Technologies</t>
  </si>
  <si>
    <t>MASB/QT/TRA/2026/0082</t>
  </si>
  <si>
    <t xml:space="preserve">Fuzy / Sholihin </t>
  </si>
  <si>
    <t>Kasturi</t>
  </si>
  <si>
    <t>Fuziah / Sholihin</t>
  </si>
  <si>
    <t>Saga Advisory Services PLT</t>
  </si>
  <si>
    <t>Dr. Nohd Zuhdin</t>
  </si>
  <si>
    <t>MASB/QT/TRA/2026/0083</t>
  </si>
  <si>
    <t>MIMOS Solutions Sdn Bhd</t>
  </si>
  <si>
    <t>Leveraging Artificial Intelligence for Strategic Tender Responses</t>
  </si>
  <si>
    <t>Nuha</t>
  </si>
  <si>
    <t>MASB/QT/TRA/2026/0084</t>
  </si>
  <si>
    <t>MASB/QT/TRA/2026/0085</t>
  </si>
  <si>
    <t>AI Training for Work Efficiency</t>
  </si>
  <si>
    <t>Salasiah</t>
  </si>
  <si>
    <t>4/8//2026</t>
  </si>
  <si>
    <t>MASB/QT/SER/2026/0086</t>
  </si>
  <si>
    <t>Sarawak Skills</t>
  </si>
  <si>
    <t>AI on Premise &amp; Configuration for Sarawak Skills Centre of Excellence</t>
  </si>
  <si>
    <t xml:space="preserve">Amirul </t>
  </si>
  <si>
    <t>MASB/QT/TRA/2026/0070rev4</t>
  </si>
  <si>
    <t>Dr Raihan / Mr Martin</t>
  </si>
  <si>
    <t>MASB/QT/TRA/2026/0080rev2</t>
  </si>
  <si>
    <t>Train-the-Trainer: Semiconductor Front-End Technologies Level 4</t>
  </si>
  <si>
    <t>MASB/QT/TRA/2026/0081rev2</t>
  </si>
  <si>
    <t>Train-the-Trainer: Semiconductor Front-End Technologies Level 5</t>
  </si>
  <si>
    <t>MASB/QT/TRA/2026/0035Rev1</t>
  </si>
  <si>
    <t>Puan Aisyah</t>
  </si>
  <si>
    <t>MASB/QT/SER/2026/0087</t>
  </si>
  <si>
    <t>Kementerian Digital</t>
  </si>
  <si>
    <t>Arieff</t>
  </si>
  <si>
    <t>MASB/QT/SER/2026/0088</t>
  </si>
  <si>
    <t>MASB/QT/SER/2026/0089</t>
  </si>
  <si>
    <t>Majlis Agama Islam Selangor (MAIS)</t>
  </si>
  <si>
    <t>Khairul Hakimin Mohd Yusoff</t>
  </si>
  <si>
    <t>Hariz</t>
  </si>
  <si>
    <t>MASB/QT/TRA/2026/0090</t>
  </si>
  <si>
    <t>Puan Intan</t>
  </si>
  <si>
    <t>MASB/QT/TRA/2026/0091</t>
  </si>
  <si>
    <t>KESUMA Kota Kinabalu</t>
  </si>
  <si>
    <t>Norain Sani</t>
  </si>
  <si>
    <t>MASB/QT/TRA/2026/0092</t>
  </si>
  <si>
    <t>KESUMA Tawau</t>
  </si>
  <si>
    <t>MASB/QT/TRA/2026/0093</t>
  </si>
  <si>
    <t>WICE Solution</t>
  </si>
  <si>
    <t>Abu Said</t>
  </si>
  <si>
    <t>Safety Carnival Soft Launch and New Product Launching event</t>
  </si>
  <si>
    <t>JQ Lim</t>
  </si>
  <si>
    <t>MASB/QT/TRA/2026/0094</t>
  </si>
  <si>
    <t>MASB/QT/TRA/2026/0078rev2</t>
  </si>
  <si>
    <t>UniKL BMI</t>
  </si>
  <si>
    <t>Industrial Visit &amp; Semiconductor Workshop (20 May 2026)</t>
  </si>
  <si>
    <t>Dr Faezah</t>
  </si>
  <si>
    <t>MASB/QT/TRA/2026/0095</t>
  </si>
  <si>
    <t>Industrial Visit &amp; Semiconductor Workshop (3 June 2026)</t>
  </si>
  <si>
    <t>MASB/QT/TRA/2026/0096</t>
  </si>
  <si>
    <t>UPM</t>
  </si>
  <si>
    <t>Ergonomics</t>
  </si>
  <si>
    <t xml:space="preserve">Dr Nurhanisah </t>
  </si>
  <si>
    <t>MASB/QT/TRA/2026/0097</t>
  </si>
  <si>
    <t>Takaful Ikhlas</t>
  </si>
  <si>
    <t>Mohamad Aizal</t>
  </si>
  <si>
    <t>MASB/QT/TRA/2026/0098</t>
  </si>
  <si>
    <t>AI for Manufacturing</t>
  </si>
  <si>
    <t>Hasnul</t>
  </si>
  <si>
    <t>MASB/QT/TRA/2026/0099</t>
  </si>
  <si>
    <t>Intan</t>
  </si>
  <si>
    <t>MASB/QT/TRA/2026/0100</t>
  </si>
  <si>
    <t>Candy Connection Sdn Bhd</t>
  </si>
  <si>
    <t>AI-Powered Video Content Creation</t>
  </si>
  <si>
    <t>Harith Hatta</t>
  </si>
  <si>
    <t>MASB/QT/TRA/2026/0101</t>
  </si>
  <si>
    <t>MPC Wilayah Utara</t>
  </si>
  <si>
    <t>Training Hall Rental (Half Day)</t>
  </si>
  <si>
    <t>MOHD AMIROL MD KHAIR</t>
  </si>
  <si>
    <t>MASB/QT/TRA/2026/0102</t>
  </si>
  <si>
    <t>MCMC</t>
  </si>
  <si>
    <t>Certified Data Scientist Practitioner</t>
  </si>
  <si>
    <t>Turis</t>
  </si>
  <si>
    <t>MASB/QT/TRA/2026/0103</t>
  </si>
  <si>
    <t>MASB/QT/TRA/2026/0104</t>
  </si>
  <si>
    <t>UNISEL</t>
  </si>
  <si>
    <t>TTT</t>
  </si>
  <si>
    <t>MASB/QT/TRA/2026/0105</t>
  </si>
  <si>
    <t>In House</t>
  </si>
  <si>
    <t>MASB/QT/TRA/2026/0106</t>
  </si>
  <si>
    <t>MASB/QT/TRA/2026/0107</t>
  </si>
  <si>
    <t>ERL Maintenance Support Sdn. Bhd.</t>
  </si>
  <si>
    <t>Embedded Skills (Advanced Level – Multi-Platform IoT Systems)</t>
  </si>
  <si>
    <t xml:space="preserve">Lee YS </t>
  </si>
  <si>
    <t>MASB/QT/TRA/2026/0083rev2</t>
  </si>
  <si>
    <t>Leveraging AI to Accelerate End-to-End Tender Preparation and Proposal Development</t>
  </si>
  <si>
    <t>MASB/QT/TRA/2026/0108</t>
  </si>
  <si>
    <t>Project Management Professional</t>
  </si>
  <si>
    <t>MASB/QT/TRA/2026/0109</t>
  </si>
  <si>
    <t>Binsen Plastic Ind. SB</t>
  </si>
  <si>
    <t>Fuziah</t>
  </si>
  <si>
    <t>5S Implementation With AI-Driven Productivity (3Days)</t>
  </si>
  <si>
    <t>Nor Azian</t>
  </si>
  <si>
    <t>MASB/QT/TRA/2026/0110</t>
  </si>
  <si>
    <t>Kementerian Perdagangan Dalam Negeri (KPDN)</t>
  </si>
  <si>
    <t>Ai, Data Analitik &amp; Programming (Beginner)</t>
  </si>
  <si>
    <t>En. Azri William</t>
  </si>
  <si>
    <t>MASB/QT/TRA/2026/0111</t>
  </si>
  <si>
    <t>KRIMS Ventures Sdn Bhd</t>
  </si>
  <si>
    <t>Space Rental (Seminar Room 1 &amp; 2)</t>
  </si>
  <si>
    <t>Ramizu</t>
  </si>
  <si>
    <t>MASB/QT/TRA/2026/0112</t>
  </si>
  <si>
    <t>Universiti Malaya</t>
  </si>
  <si>
    <t>Dr. Hamidah</t>
  </si>
  <si>
    <t>MASB/QT/TRA/2026/0113</t>
  </si>
  <si>
    <t xml:space="preserve">SEMI S22 – Safety Guideline for Electrical Design of Semiconductor 
Manufacturing Equipment </t>
  </si>
  <si>
    <t>Pn Intan</t>
  </si>
  <si>
    <t>MASB/QT/TRA/2026/0113REV1</t>
  </si>
  <si>
    <t>MASB/QT/TRA/2026/0114</t>
  </si>
  <si>
    <t>5S Power Move (1Day)</t>
  </si>
  <si>
    <t>MASB/QT/TRA/2026/0115</t>
  </si>
  <si>
    <t>5S Power Move (2Days)</t>
  </si>
  <si>
    <t>MASB/QT/TRA/2026/0116</t>
  </si>
  <si>
    <t>AIR BORNEO</t>
  </si>
  <si>
    <t>AI System Thinking</t>
  </si>
  <si>
    <t>Mutalib</t>
  </si>
  <si>
    <t>MASB/QT/TRA/2026/0117</t>
  </si>
  <si>
    <t>AI for Technical &amp; Operations</t>
  </si>
  <si>
    <t>MASB/QT/TRA/2026/0118</t>
  </si>
  <si>
    <t>Hamadatec (M) Sdn. Bhd.</t>
  </si>
  <si>
    <t xml:space="preserve">ISO 14001:2026 EMS Transition Ghange </t>
  </si>
  <si>
    <t>En Ridzuan</t>
  </si>
  <si>
    <t>MASB/QT/TRA/2026/0119</t>
  </si>
  <si>
    <t>En. Arieff</t>
  </si>
  <si>
    <t>MASB/QT/TRA/2026/0119REV1</t>
  </si>
  <si>
    <t>14/5/2026</t>
  </si>
  <si>
    <t>MASB/QT/SER/2026/0120</t>
  </si>
  <si>
    <t>Bank Kerjasama Rakyat</t>
  </si>
  <si>
    <t>Effandi</t>
  </si>
  <si>
    <t>MASB/QT/SER/2026/0121</t>
  </si>
  <si>
    <t>MASB/QT/SER/2026/0122</t>
  </si>
  <si>
    <t>ASWARA, Ministry Tourism Art &amp; Culture</t>
  </si>
  <si>
    <t>Ts Asrul</t>
  </si>
  <si>
    <t>MASB/QT/SER/2026/0123</t>
  </si>
  <si>
    <t>Ekuiti Nasional Berhad</t>
  </si>
  <si>
    <t>Amirul Amri</t>
  </si>
  <si>
    <t>MASB/QT/SER/2026/0124</t>
  </si>
  <si>
    <t>BPM, MINDEF Cohort 2</t>
  </si>
  <si>
    <t>18/5/2026</t>
  </si>
  <si>
    <t>MASB/QT/SER/2026/0125</t>
  </si>
  <si>
    <t>UIA</t>
  </si>
  <si>
    <t xml:space="preserve">Semiconductor Technology &amp; Manufacturing Process </t>
  </si>
  <si>
    <t>Nazim</t>
  </si>
  <si>
    <t>20/5/2026</t>
  </si>
  <si>
    <t>MASB/QT/TRA/2026/0041Rev2</t>
  </si>
  <si>
    <t>Jabatan Pembangunan Kemahiran</t>
  </si>
  <si>
    <t>MASB/QT/TRA/2026/0126</t>
  </si>
  <si>
    <t>MASB/QT/TRA/2026/0001Rev1</t>
  </si>
  <si>
    <t>MASB/QT/TRA/2026/0002Rev1</t>
  </si>
  <si>
    <t>MASB/QT/TRA/2026/0003Rev1</t>
  </si>
  <si>
    <t>MASB/QT/TRA/2026/0004Rev1</t>
  </si>
  <si>
    <t>MASB/QT/TRA/2026/0005Rev1</t>
  </si>
  <si>
    <t>Malaysia Productivity Corp (MPC)</t>
  </si>
  <si>
    <t>Pn Sally</t>
  </si>
  <si>
    <t>MASB/QT/SER/2026/0127</t>
  </si>
  <si>
    <t>Squarecloud</t>
  </si>
  <si>
    <t>Ms Lindsay</t>
  </si>
  <si>
    <t>MASB/QT/TRA/2026/0119REV2</t>
  </si>
  <si>
    <t>NotebookLM &amp; AI System Thinking: Training for Efficiency</t>
  </si>
  <si>
    <t>MASB/QT/TRA/2026/0128</t>
  </si>
  <si>
    <t>Kobelco Digital Presicion</t>
  </si>
  <si>
    <t>Patent Search Training</t>
  </si>
  <si>
    <t>Puan. Siti Fatimah</t>
  </si>
  <si>
    <t>MASB/QT/TRA/2026/0129</t>
  </si>
  <si>
    <t>Institut Aminuddin Baki</t>
  </si>
  <si>
    <t>IAB</t>
  </si>
  <si>
    <t>MASB/QT/TRA/2026/0130</t>
  </si>
  <si>
    <t>AI on Premise &amp; Configuration for Institut Aminuddin Baki</t>
  </si>
  <si>
    <t>MASB/QT/SER/2026/0131</t>
  </si>
  <si>
    <t>UiTM Perak Kampus Tapah</t>
  </si>
  <si>
    <t>Printing Certificate - Industrial Visit</t>
  </si>
  <si>
    <t>Nurirfan Hakimi</t>
  </si>
  <si>
    <t>MASB/QT/TRA/2026/0132</t>
  </si>
  <si>
    <t>Bulletproof Your Tech Business</t>
  </si>
  <si>
    <t>MASB/QT/TRA/2026/0119REV3</t>
  </si>
  <si>
    <t>MASB/QT/TRA/2026/0133</t>
  </si>
  <si>
    <t>UNIMAP</t>
  </si>
  <si>
    <t>Dr Normah</t>
  </si>
  <si>
    <t>MASB/QT/TRA/2026/0110Rev1</t>
  </si>
  <si>
    <t>MASB/QT/TRA/2026/0110Rev2</t>
  </si>
  <si>
    <t>MASB/QT/TRA/2026/0134</t>
  </si>
  <si>
    <t>Daffodil Bangladesh</t>
  </si>
  <si>
    <t>Training Proposal Of Train-The-Trainer: Front End Wafer Fabrication - Process &amp; Manufacturing</t>
  </si>
  <si>
    <t>Humayun</t>
  </si>
  <si>
    <t>MASB/QT/TRA/2026/0135a</t>
  </si>
  <si>
    <t xml:space="preserve">MTSB for DENSO (Malaysia) Sdn. Bhd. (DNMY) </t>
  </si>
  <si>
    <t>Comprehensive Semiconductor Manufacturing, Analytical Characterization and Failure Analysis Training Program</t>
  </si>
  <si>
    <t>Hasniza</t>
  </si>
  <si>
    <t>MASB/QT/TRA/2026/0136a</t>
  </si>
  <si>
    <t>MASB/QT/TRA/2026/0137a</t>
  </si>
  <si>
    <t>MASB/QT/TRA/2026/0135b</t>
  </si>
  <si>
    <t>MTSB for DENSO Philippines Corporation (DNPH)</t>
  </si>
  <si>
    <t>MASB/QT/TRA/2026/0136b</t>
  </si>
  <si>
    <t>MASB/QT/TRA/2026/0137b</t>
  </si>
  <si>
    <t>MASB/QT/TRA/2026/0138</t>
  </si>
  <si>
    <t>AI System Thinking (Intermediate)</t>
  </si>
  <si>
    <t>MASB/QT/SER/2026/0139</t>
  </si>
  <si>
    <t>MIMOS Holdings Sdn Bhd</t>
  </si>
  <si>
    <t>Printing Certificate - Training</t>
  </si>
  <si>
    <t>Hanis</t>
  </si>
  <si>
    <t>MASB/QT/SER/2026/0140</t>
  </si>
  <si>
    <t>Pos Aviation</t>
  </si>
  <si>
    <t>MASB/QT/SER/2026/0141</t>
  </si>
  <si>
    <t>AI System Thinking (LMS)</t>
  </si>
  <si>
    <t>MASB/QT/TRA/2026/0142</t>
  </si>
  <si>
    <t>MPOB</t>
  </si>
  <si>
    <t>Puan Zanariah</t>
  </si>
  <si>
    <t>MASB/QT/TRA/2026/0110Rev3</t>
  </si>
  <si>
    <t>MASB/QT/TRA/2026/0143</t>
  </si>
  <si>
    <t>IPGM</t>
  </si>
  <si>
    <t>Dr AIn</t>
  </si>
  <si>
    <t>MASB/QT/TRA/2026/0144</t>
  </si>
  <si>
    <t xml:space="preserve">Train-The-Trainer (TTT): Certified AI Trainer </t>
  </si>
  <si>
    <t>Dr Ain</t>
  </si>
  <si>
    <t>MASB/QT/TRA/2026/0145</t>
  </si>
  <si>
    <t>KITAB, Penang</t>
  </si>
  <si>
    <t>Dr.Wan</t>
  </si>
  <si>
    <t>MASB/QT/TRA/2026/0146</t>
  </si>
  <si>
    <t>Unit Perancang Ekonomi Negeri Selangor (UPEN)</t>
  </si>
  <si>
    <t>En. Salih</t>
  </si>
  <si>
    <t>MASB/QT/TRA/2026/0129REV1</t>
  </si>
  <si>
    <t>En. Wan Roshuaman</t>
  </si>
  <si>
    <t>MASB/QT/TRA/2026/0133b</t>
  </si>
  <si>
    <t>UiTM Shah Alam</t>
  </si>
  <si>
    <t>Dr Norhayati,</t>
  </si>
  <si>
    <t>MASB/QT/TRA/2026/0147</t>
  </si>
  <si>
    <t>HYBRID INTELLIGENCE SDN. BHD.</t>
  </si>
  <si>
    <t>AI Fundamentals for Everyday Productivity: Beginner, Intermediate and Advanced Class</t>
  </si>
  <si>
    <t xml:space="preserve">ROSLAN BIN RAMLI </t>
  </si>
  <si>
    <t>MASB/QT/TRA/2026/0129REV2</t>
  </si>
  <si>
    <t>MASB/QT/TRA/2026/0148</t>
  </si>
  <si>
    <t>TalentCorp</t>
  </si>
  <si>
    <t>Comprehensive Programme</t>
  </si>
  <si>
    <t>En. Ahmad Syukri</t>
  </si>
  <si>
    <t>Psychology Q&amp;A, SPSS, URS, Software Development, UAT</t>
  </si>
  <si>
    <t>MASB/QT/TRA/2026/0149</t>
  </si>
  <si>
    <t>Intensive Programme</t>
  </si>
  <si>
    <t>URS Workshop + Software Development</t>
  </si>
  <si>
    <t>Abu said</t>
  </si>
  <si>
    <t>MASB/QT/TRA/2026/0150</t>
  </si>
  <si>
    <t>Universiti Utara Malaysia, UUM Sintok</t>
  </si>
  <si>
    <t>UUM - Smart City &amp; ESG Transformation Symposium 2026</t>
  </si>
  <si>
    <t>Prof. Madya Dr. Mazni Binti Omar</t>
  </si>
  <si>
    <t>MASB/QT/TRA/2026/0151</t>
  </si>
  <si>
    <t>INTAN</t>
  </si>
  <si>
    <t>En. Hadil</t>
  </si>
  <si>
    <t>MASB/QT/TRA/2026/0152</t>
  </si>
  <si>
    <t>Jabatan Pendaftaran Negara (JPN)</t>
  </si>
  <si>
    <t>Penghasilan Montaj Berasaskan AI</t>
  </si>
  <si>
    <t>MASB/QT/TRA/2026/0152Rev1</t>
  </si>
  <si>
    <t>MASB/QT/TRA/2026/0153</t>
  </si>
  <si>
    <t>AI For Office Productivity</t>
  </si>
  <si>
    <t>MASB/QT/TRA/2026/0154</t>
  </si>
  <si>
    <t>MASB/QT/TRA/2026/0155</t>
  </si>
  <si>
    <t>Koperasi Ladang Berhad</t>
  </si>
  <si>
    <t>En. Mazhan</t>
  </si>
  <si>
    <t>MASB/QT/TRA/2026/0156</t>
  </si>
  <si>
    <t>MASB/QT/TRA/2026/0157</t>
  </si>
  <si>
    <t>Perbadanan Nasional Berhad (Pernas)</t>
  </si>
  <si>
    <t>Pn. Alissa Yusri</t>
  </si>
  <si>
    <t>MASB/QT/TRA/2026/0158</t>
  </si>
  <si>
    <t>Pn. Hamidah Abd Karim</t>
  </si>
  <si>
    <t>MASB/QT/TRA/2026/0146Rev1</t>
  </si>
  <si>
    <t>MASB/QT/TRA/2026/0006Rev1</t>
  </si>
  <si>
    <t>MASB/QT/TRA/2026/0001Rev2</t>
  </si>
  <si>
    <t>MASB/QT/TRA/2026/0002Rev2</t>
  </si>
  <si>
    <t>MASB/QT/TRA/2026/0003Rev2</t>
  </si>
  <si>
    <t>MASB/QT/TRA/2026/0004Rev2</t>
  </si>
  <si>
    <t>MASB/QT/TRA/2026/0005Rev2</t>
  </si>
  <si>
    <t>MASB/QT/TRA/2026/0138rev2</t>
  </si>
  <si>
    <t>BPM MINDEF</t>
  </si>
  <si>
    <t>MASB/QT/TRA/2026/0159</t>
  </si>
  <si>
    <t>UTP</t>
  </si>
  <si>
    <t>IC design &amp; Semiconductor Training</t>
  </si>
  <si>
    <t>MASB/QT/TRA/2026/0160</t>
  </si>
  <si>
    <t>GTIC</t>
  </si>
  <si>
    <t>Umi Hasheida</t>
  </si>
  <si>
    <t>MASB/QT/TRA/2026/0161</t>
  </si>
  <si>
    <t>Cybersecurity Awareness</t>
  </si>
  <si>
    <t>MASB/QT/TRA/2026/0071Rev2</t>
  </si>
  <si>
    <t>MASB/QT/TRA/2026/0162</t>
  </si>
  <si>
    <t>MASB/QT/TRA/2026/0163</t>
  </si>
  <si>
    <t>MTSB - MITRA Cohort 1.0</t>
  </si>
  <si>
    <t>MTSB - TRAINING ROOM RENTAL – MITRA (COHORT 1)</t>
  </si>
  <si>
    <t>Khairul Ashraf Mohamed Rais</t>
  </si>
  <si>
    <t>MASB/QT/TRA/2026/0006Rev2</t>
  </si>
  <si>
    <t>Puan Siti Suraidah</t>
  </si>
  <si>
    <t>MASB/QT/TRA/2026/0164</t>
  </si>
  <si>
    <t>APU</t>
  </si>
  <si>
    <t xml:space="preserve">Professional Training, Technical Consultancy &amp;  Semiconductor Wafer Fabrication Programme for Seven (7) Lecturers </t>
  </si>
  <si>
    <t>Prof. Ir. Dr. Siva Kumar Sivanesan</t>
  </si>
  <si>
    <t>MASB/QT/TRA/2026/0165</t>
  </si>
  <si>
    <t>MAIS</t>
  </si>
  <si>
    <t>En. Khairul Hakimin</t>
  </si>
  <si>
    <t>MASB/QT/TRA/2026/0166</t>
  </si>
  <si>
    <t>En. Mohamed Roslan</t>
  </si>
  <si>
    <t>MASB/QT/TRA/2026/0164Rev1</t>
  </si>
  <si>
    <t>MASB/QT/TRA/2026/0167</t>
  </si>
  <si>
    <t xml:space="preserve">HANNAN </t>
  </si>
  <si>
    <t xml:space="preserve">AI Training </t>
  </si>
  <si>
    <t>En. Kamal</t>
  </si>
  <si>
    <t>MASB/QT/TRA/2026/0168</t>
  </si>
  <si>
    <t>Lam Research</t>
  </si>
  <si>
    <t>En. Lee Chee Kheong</t>
  </si>
  <si>
    <t>MASB/QT/TRA/2026/0169</t>
  </si>
  <si>
    <t>Dr Nazifah</t>
  </si>
  <si>
    <t>MASB/QT/TRA/2026/0162Rev1</t>
  </si>
  <si>
    <t>MASB/QT/TRA/2026/0110Rev4</t>
  </si>
  <si>
    <t>Course Workbooks (20 Participants)</t>
  </si>
  <si>
    <t>Professional Fees for Two (2) Trainers</t>
  </si>
  <si>
    <t>MASB/QT/TRA/2026/0110Rev5</t>
  </si>
  <si>
    <t>Latihan Pengaturcaraan dan Data Analitik Menggunakan Teknologi Kecerdasan Buatan (Artificial Intelligence – AI)</t>
  </si>
  <si>
    <t>MASB/QT/TRA/2026/0110Rev6</t>
  </si>
  <si>
    <t>MASB/QT/TRA/2026/0170</t>
  </si>
  <si>
    <t>En. Amirul</t>
  </si>
  <si>
    <t>MASB/QT/TRA/2026/0171</t>
  </si>
  <si>
    <t>KPJ Healthcare University</t>
  </si>
  <si>
    <t>Digital Skills</t>
  </si>
  <si>
    <t>Dr Tanwyn</t>
  </si>
  <si>
    <t>MASB/QT/TRA/2026/0172</t>
  </si>
  <si>
    <t>AI &amp; Digital Health in Clinical Practice</t>
  </si>
  <si>
    <t>MASB/QT/TRA/2026/0173</t>
  </si>
  <si>
    <t>Data Analytics</t>
  </si>
  <si>
    <t>MASB/QT/TRA/2026/0154Rev1</t>
  </si>
  <si>
    <t>MASB/QT/TRA/2026/0174</t>
  </si>
  <si>
    <t>Asia E University</t>
  </si>
  <si>
    <t>MASB/QT/TRA/2026/0175</t>
  </si>
  <si>
    <t>MASB/QT/TRA/2026/0176</t>
  </si>
  <si>
    <t>Public</t>
  </si>
  <si>
    <t>MASB/QT/TRA/2026/0168Rev</t>
  </si>
  <si>
    <t>Vitalglow Essential Retail</t>
  </si>
  <si>
    <t>MASB/QT/TRA/2026/0177</t>
  </si>
  <si>
    <t>Sabah Ports Sdn Bhd</t>
  </si>
  <si>
    <t>Karen Rachel Sugai</t>
  </si>
  <si>
    <t>MASB/QT/TRA/2026/0178</t>
  </si>
  <si>
    <t>Cleanroom and Semiconductor Fabrication Processes</t>
  </si>
  <si>
    <t>MASB/QT/TRA/2026/0179</t>
  </si>
  <si>
    <t>Hanan Medicare</t>
  </si>
  <si>
    <t>Ahmad Kamal Suhaimi</t>
  </si>
  <si>
    <t>MASB/QT/TRA/2026/0155Rev1</t>
  </si>
  <si>
    <t>MASB/QT/TRA/2026/0180</t>
  </si>
  <si>
    <t>MASB/QT/TRA/2026/0181</t>
  </si>
  <si>
    <t>Institut Aminuddin Baki (IAB)</t>
  </si>
  <si>
    <t>Canva AI &amp; NotebookLM</t>
  </si>
  <si>
    <t>MASB/QT/TRA/2026/0182</t>
  </si>
  <si>
    <t>Malaysia Transformer</t>
  </si>
  <si>
    <t>En. Adib</t>
  </si>
  <si>
    <t>MASB/QT/TRA/2026/0183</t>
  </si>
  <si>
    <t>MASB/QT/TRA/2026/0184</t>
  </si>
  <si>
    <t>AI for Training Aid &amp; Assistant</t>
  </si>
  <si>
    <t>Lan</t>
  </si>
  <si>
    <t>sent</t>
  </si>
  <si>
    <t>MASB/QT/TRA/2026/0185</t>
  </si>
  <si>
    <t>MASB/QT/TRA/2026/0186</t>
  </si>
  <si>
    <t>MMU</t>
  </si>
  <si>
    <t>Kamal</t>
  </si>
  <si>
    <t>MASB/QT/TRA/2026/0187</t>
  </si>
  <si>
    <t>APD</t>
  </si>
  <si>
    <t>Semiconductor Industry Placement Programme for Undergraduates and Working Adults</t>
  </si>
  <si>
    <t>Melissa</t>
  </si>
  <si>
    <t>MASB/QT/TRA/2026/0188</t>
  </si>
  <si>
    <t>Semiconductor Manufacturing Process &amp; Analysis Programme</t>
  </si>
  <si>
    <t>MASB/QT/TRA/2026/0189</t>
  </si>
  <si>
    <t xml:space="preserve">Semiconductor Fabrication Processes </t>
  </si>
  <si>
    <t>Dr Syed</t>
  </si>
  <si>
    <t>MASB/QT/TRA/2026/0190</t>
  </si>
  <si>
    <t>AI Vibe Coding for Custom Application Development</t>
  </si>
  <si>
    <t>Hafriz</t>
  </si>
  <si>
    <t>15/08/2026</t>
  </si>
  <si>
    <t>MASB/QT/TRA/2026/0191</t>
  </si>
  <si>
    <t>MHSB</t>
  </si>
  <si>
    <t>Mastering Patient Complaint Management in Rehabilitation Services</t>
  </si>
  <si>
    <t>Fazrul</t>
  </si>
  <si>
    <t>MASB/QT/TRA/2026/0192</t>
  </si>
  <si>
    <t>Tanzania</t>
  </si>
  <si>
    <t>Juma Mdaki</t>
  </si>
  <si>
    <t>MASB/QT/TRA/2026/0155Rev2</t>
  </si>
  <si>
    <t>MASB/QT/TRA/2026/0181Rev1</t>
  </si>
  <si>
    <t>MASB/QT/TRA/2026/0193</t>
  </si>
  <si>
    <t>Institut Terjemahan &amp; Buku Malaysia</t>
  </si>
  <si>
    <t>Pn. Norzaiti</t>
  </si>
  <si>
    <t>MASB/QT/TRA/2026/0194</t>
  </si>
  <si>
    <t>IKMA</t>
  </si>
  <si>
    <t>AI Thesis Writing for PhD &amp; Master</t>
  </si>
  <si>
    <t>Djabbar</t>
  </si>
  <si>
    <t>MASB/QT/TRA/2026/0195</t>
  </si>
  <si>
    <t>UniKL (Dr Ismi)</t>
  </si>
  <si>
    <t>AUTONOMOUS AI SYSTEMS DEVELOPMENT USING N8N, LOCAL LLMS AND AI AGENTS</t>
  </si>
  <si>
    <t>Dr Ismifaizul</t>
  </si>
  <si>
    <t>MASB/QT/TRA/2026/0196</t>
  </si>
  <si>
    <t>Boustead Properties Berhad</t>
  </si>
  <si>
    <t>Ahmad Farid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</si>
</sst>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</numFmts>
  <fonts count="2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Calibri"/>
      <charset val="1"/>
    </font>
    <font>
      <sz val="10"/>
      <color rgb="FF000000"/>
      <name val="Calibri"/>
      <family val="2"/>
      <scheme val="minor"/>
    </font>
    <font>
      <sz val="11"/>
      <color rgb="FF242424"/>
      <name val="Aptos Narrow"/>
      <charset val="1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rgb="FF242424"/>
      <name val="Calibri"/>
      <scheme val="minor"/>
    </font>
    <font>
      <sz val="10"/>
      <color rgb="FF242424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color rgb="FF242424"/>
      <name val="Calibri"/>
      <charset val="1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ptos"/>
      <family val="2"/>
      <charset val="1"/>
    </font>
    <font>
      <sz val="10.5"/>
      <color theme="1"/>
      <name val="Calibri"/>
      <family val="2"/>
      <charset val="1"/>
    </font>
    <font>
      <b/>
      <sz val="10"/>
      <color theme="1"/>
      <name val="Calibri"/>
      <scheme val="minor"/>
    </font>
    <font>
      <sz val="10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rgb="FF70AD47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5">
    <xf numFmtId="0" fontId="0" fillId="0" borderId="0" xfId="0"/>
    <xf numFmtId="0" fontId="1" fillId="0" borderId="0" xfId="0" applyFont="1" applyAlignment="1">
      <alignment vertical="top"/>
    </xf>
    <xf numFmtId="166" fontId="1" fillId="0" borderId="0" xfId="0" applyNumberFormat="1" applyFont="1" applyAlignment="1">
      <alignment vertical="top"/>
    </xf>
    <xf numFmtId="166" fontId="1" fillId="2" borderId="0" xfId="0" applyNumberFormat="1" applyFont="1" applyFill="1" applyAlignment="1">
      <alignment vertical="top"/>
    </xf>
    <xf numFmtId="165" fontId="1" fillId="0" borderId="0" xfId="0" applyNumberFormat="1" applyFont="1" applyAlignment="1">
      <alignment vertical="top"/>
    </xf>
    <xf numFmtId="166" fontId="2" fillId="2" borderId="0" xfId="0" applyNumberFormat="1" applyFont="1" applyFill="1" applyAlignment="1">
      <alignment vertical="top"/>
    </xf>
    <xf numFmtId="0" fontId="1" fillId="0" borderId="0" xfId="0" applyFont="1" applyAlignment="1">
      <alignment vertical="top" wrapText="1"/>
    </xf>
    <xf numFmtId="0" fontId="4" fillId="0" borderId="0" xfId="1" applyFont="1" applyBorder="1" applyAlignment="1">
      <alignment vertical="top"/>
    </xf>
    <xf numFmtId="0" fontId="4" fillId="0" borderId="0" xfId="1" applyFont="1" applyAlignment="1">
      <alignment vertical="top"/>
    </xf>
    <xf numFmtId="0" fontId="2" fillId="0" borderId="0" xfId="0" applyFont="1" applyAlignment="1">
      <alignment vertical="top"/>
    </xf>
    <xf numFmtId="0" fontId="1" fillId="3" borderId="0" xfId="0" applyFont="1" applyFill="1" applyAlignment="1">
      <alignment vertical="top"/>
    </xf>
    <xf numFmtId="0" fontId="4" fillId="3" borderId="0" xfId="1" applyFont="1" applyFill="1" applyAlignment="1">
      <alignment vertical="top"/>
    </xf>
    <xf numFmtId="165" fontId="1" fillId="3" borderId="0" xfId="0" applyNumberFormat="1" applyFont="1" applyFill="1" applyAlignment="1">
      <alignment vertical="top"/>
    </xf>
    <xf numFmtId="166" fontId="1" fillId="3" borderId="0" xfId="0" applyNumberFormat="1" applyFont="1" applyFill="1" applyAlignment="1">
      <alignment vertical="top"/>
    </xf>
    <xf numFmtId="166" fontId="2" fillId="3" borderId="0" xfId="0" applyNumberFormat="1" applyFont="1" applyFill="1" applyAlignment="1">
      <alignment vertical="top"/>
    </xf>
    <xf numFmtId="0" fontId="1" fillId="0" borderId="1" xfId="0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6" fontId="1" fillId="0" borderId="1" xfId="0" applyNumberFormat="1" applyFont="1" applyBorder="1" applyAlignment="1">
      <alignment vertical="top"/>
    </xf>
    <xf numFmtId="166" fontId="2" fillId="2" borderId="1" xfId="0" applyNumberFormat="1" applyFont="1" applyFill="1" applyBorder="1" applyAlignment="1">
      <alignment vertical="top"/>
    </xf>
    <xf numFmtId="166" fontId="1" fillId="2" borderId="1" xfId="0" applyNumberFormat="1" applyFont="1" applyFill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66" fontId="2" fillId="0" borderId="0" xfId="0" applyNumberFormat="1" applyFont="1" applyAlignment="1">
      <alignment vertical="top"/>
    </xf>
    <xf numFmtId="0" fontId="1" fillId="4" borderId="0" xfId="0" applyFont="1" applyFill="1" applyAlignment="1">
      <alignment vertical="top"/>
    </xf>
    <xf numFmtId="165" fontId="1" fillId="4" borderId="0" xfId="0" applyNumberFormat="1" applyFont="1" applyFill="1" applyAlignment="1">
      <alignment vertical="top"/>
    </xf>
    <xf numFmtId="166" fontId="1" fillId="4" borderId="0" xfId="0" applyNumberFormat="1" applyFont="1" applyFill="1" applyAlignment="1">
      <alignment vertical="top"/>
    </xf>
    <xf numFmtId="166" fontId="2" fillId="4" borderId="0" xfId="0" applyNumberFormat="1" applyFont="1" applyFill="1" applyAlignment="1">
      <alignment vertical="top"/>
    </xf>
    <xf numFmtId="0" fontId="1" fillId="0" borderId="1" xfId="0" applyFont="1" applyBorder="1" applyAlignment="1">
      <alignment vertical="top" wrapText="1"/>
    </xf>
    <xf numFmtId="0" fontId="9" fillId="0" borderId="0" xfId="0" applyFont="1" applyAlignment="1">
      <alignment vertical="top"/>
    </xf>
    <xf numFmtId="0" fontId="13" fillId="0" borderId="0" xfId="0" applyFont="1"/>
    <xf numFmtId="0" fontId="1" fillId="0" borderId="0" xfId="0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4" fontId="1" fillId="4" borderId="0" xfId="0" applyNumberFormat="1" applyFont="1" applyFill="1" applyAlignment="1">
      <alignment horizontal="right" vertical="top"/>
    </xf>
    <xf numFmtId="14" fontId="1" fillId="3" borderId="0" xfId="0" applyNumberFormat="1" applyFont="1" applyFill="1" applyAlignment="1">
      <alignment horizontal="right" vertical="top"/>
    </xf>
    <xf numFmtId="14" fontId="1" fillId="0" borderId="1" xfId="0" applyNumberFormat="1" applyFont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center"/>
    </xf>
    <xf numFmtId="14" fontId="1" fillId="0" borderId="1" xfId="0" applyNumberFormat="1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" fillId="0" borderId="1" xfId="1" applyFont="1" applyBorder="1" applyAlignment="1">
      <alignment vertical="top"/>
    </xf>
    <xf numFmtId="0" fontId="4" fillId="0" borderId="1" xfId="1" applyFont="1" applyBorder="1" applyAlignment="1">
      <alignment vertical="top"/>
    </xf>
    <xf numFmtId="0" fontId="1" fillId="5" borderId="0" xfId="0" applyFont="1" applyFill="1" applyAlignment="1">
      <alignment vertical="top"/>
    </xf>
    <xf numFmtId="14" fontId="1" fillId="5" borderId="0" xfId="0" applyNumberFormat="1" applyFont="1" applyFill="1" applyAlignment="1">
      <alignment horizontal="right" vertical="top"/>
    </xf>
    <xf numFmtId="0" fontId="1" fillId="5" borderId="0" xfId="0" applyFont="1" applyFill="1" applyAlignment="1">
      <alignment vertical="top" wrapText="1"/>
    </xf>
    <xf numFmtId="165" fontId="1" fillId="5" borderId="0" xfId="0" applyNumberFormat="1" applyFont="1" applyFill="1" applyAlignment="1">
      <alignment vertical="top"/>
    </xf>
    <xf numFmtId="166" fontId="1" fillId="5" borderId="0" xfId="0" applyNumberFormat="1" applyFont="1" applyFill="1" applyAlignment="1">
      <alignment vertical="top"/>
    </xf>
    <xf numFmtId="166" fontId="2" fillId="5" borderId="0" xfId="0" applyNumberFormat="1" applyFont="1" applyFill="1" applyAlignment="1">
      <alignment vertical="top"/>
    </xf>
    <xf numFmtId="0" fontId="1" fillId="6" borderId="0" xfId="0" applyFont="1" applyFill="1" applyAlignment="1">
      <alignment vertical="top"/>
    </xf>
    <xf numFmtId="14" fontId="1" fillId="6" borderId="0" xfId="0" applyNumberFormat="1" applyFont="1" applyFill="1" applyAlignment="1">
      <alignment horizontal="right" vertical="top"/>
    </xf>
    <xf numFmtId="165" fontId="1" fillId="6" borderId="0" xfId="0" applyNumberFormat="1" applyFont="1" applyFill="1" applyAlignment="1">
      <alignment vertical="top"/>
    </xf>
    <xf numFmtId="166" fontId="1" fillId="6" borderId="0" xfId="0" applyNumberFormat="1" applyFont="1" applyFill="1" applyAlignment="1">
      <alignment vertical="top"/>
    </xf>
    <xf numFmtId="166" fontId="2" fillId="6" borderId="0" xfId="0" applyNumberFormat="1" applyFont="1" applyFill="1" applyAlignment="1">
      <alignment vertical="top"/>
    </xf>
    <xf numFmtId="3" fontId="1" fillId="0" borderId="0" xfId="0" applyNumberFormat="1" applyFont="1" applyAlignment="1">
      <alignment vertical="top"/>
    </xf>
    <xf numFmtId="166" fontId="2" fillId="0" borderId="1" xfId="0" applyNumberFormat="1" applyFont="1" applyBorder="1" applyAlignment="1">
      <alignment vertical="top"/>
    </xf>
    <xf numFmtId="166" fontId="1" fillId="5" borderId="0" xfId="0" applyNumberFormat="1" applyFont="1" applyFill="1" applyAlignment="1">
      <alignment horizontal="right" vertical="top"/>
    </xf>
    <xf numFmtId="0" fontId="1" fillId="8" borderId="0" xfId="0" applyFont="1" applyFill="1" applyAlignment="1">
      <alignment vertical="top"/>
    </xf>
    <xf numFmtId="0" fontId="9" fillId="0" borderId="0" xfId="0" applyFont="1" applyAlignment="1">
      <alignment horizontal="right" vertical="top"/>
    </xf>
    <xf numFmtId="14" fontId="9" fillId="0" borderId="0" xfId="0" applyNumberFormat="1" applyFont="1" applyAlignment="1">
      <alignment horizontal="right" vertical="top"/>
    </xf>
    <xf numFmtId="14" fontId="9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0" xfId="0" applyFont="1" applyAlignment="1">
      <alignment vertical="top" wrapText="1"/>
    </xf>
    <xf numFmtId="14" fontId="9" fillId="0" borderId="1" xfId="0" applyNumberFormat="1" applyFont="1" applyBorder="1" applyAlignment="1">
      <alignment horizontal="right" vertical="top"/>
    </xf>
    <xf numFmtId="0" fontId="9" fillId="5" borderId="0" xfId="0" applyFont="1" applyFill="1" applyAlignment="1">
      <alignment vertical="top"/>
    </xf>
    <xf numFmtId="165" fontId="9" fillId="0" borderId="0" xfId="0" applyNumberFormat="1" applyFont="1" applyAlignment="1">
      <alignment vertical="top"/>
    </xf>
    <xf numFmtId="166" fontId="9" fillId="0" borderId="0" xfId="0" applyNumberFormat="1" applyFont="1" applyAlignment="1">
      <alignment vertical="top"/>
    </xf>
    <xf numFmtId="166" fontId="19" fillId="2" borderId="0" xfId="0" applyNumberFormat="1" applyFont="1" applyFill="1" applyAlignment="1">
      <alignment vertical="top"/>
    </xf>
    <xf numFmtId="166" fontId="9" fillId="2" borderId="0" xfId="0" applyNumberFormat="1" applyFont="1" applyFill="1" applyAlignment="1">
      <alignment vertical="top"/>
    </xf>
    <xf numFmtId="165" fontId="2" fillId="2" borderId="0" xfId="0" applyNumberFormat="1" applyFont="1" applyFill="1" applyAlignment="1">
      <alignment vertical="top"/>
    </xf>
    <xf numFmtId="165" fontId="1" fillId="2" borderId="0" xfId="0" applyNumberFormat="1" applyFont="1" applyFill="1" applyAlignment="1">
      <alignment vertical="top"/>
    </xf>
    <xf numFmtId="0" fontId="1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6" borderId="0" xfId="0" applyFont="1" applyFill="1" applyAlignment="1">
      <alignment vertical="top"/>
    </xf>
    <xf numFmtId="0" fontId="14" fillId="0" borderId="1" xfId="0" applyFont="1" applyBorder="1" applyAlignment="1">
      <alignment vertical="top"/>
    </xf>
    <xf numFmtId="0" fontId="16" fillId="7" borderId="3" xfId="0" applyFont="1" applyFill="1" applyBorder="1" applyAlignment="1">
      <alignment vertical="top" wrapText="1"/>
    </xf>
    <xf numFmtId="0" fontId="8" fillId="0" borderId="0" xfId="0" applyFont="1" applyAlignment="1">
      <alignment vertical="top"/>
    </xf>
    <xf numFmtId="0" fontId="16" fillId="0" borderId="3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4" fontId="10" fillId="0" borderId="0" xfId="0" applyNumberFormat="1" applyFont="1" applyAlignment="1">
      <alignment vertical="top"/>
    </xf>
    <xf numFmtId="0" fontId="17" fillId="0" borderId="0" xfId="0" applyFont="1" applyAlignment="1">
      <alignment vertical="top"/>
    </xf>
    <xf numFmtId="4" fontId="18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vertical="top"/>
    </xf>
    <xf numFmtId="0" fontId="1" fillId="7" borderId="0" xfId="0" applyFont="1" applyFill="1" applyAlignment="1">
      <alignment vertical="top"/>
    </xf>
    <xf numFmtId="0" fontId="12" fillId="0" borderId="0" xfId="0" applyFont="1"/>
    <xf numFmtId="0" fontId="5" fillId="0" borderId="0" xfId="0" applyFont="1"/>
    <xf numFmtId="0" fontId="7" fillId="0" borderId="0" xfId="0" applyFont="1"/>
    <xf numFmtId="4" fontId="20" fillId="0" borderId="0" xfId="0" applyNumberFormat="1" applyFont="1"/>
  </cellXfs>
  <cellStyles count="2">
    <cellStyle name="Hyperlink" xfId="1" builtinId="8"/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(* #,##0.00_);_(* \(#,##0.00\);_(* &quot;-&quot;_);_(@_)"/>
      <fill>
        <patternFill patternType="solid">
          <fgColor indexed="64"/>
          <bgColor theme="9" tint="0.79998168889431442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(* #,##0.00_);_(* \(#,##0.00\);_(* &quot;-&quot;_);_(@_)"/>
      <fill>
        <patternFill patternType="solid">
          <fgColor indexed="64"/>
          <bgColor theme="9" tint="0.79998168889431442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(* #,##0.00_);_(* \(#,##0.00\);_(* &quot;-&quot;_);_(@_)"/>
      <fill>
        <patternFill patternType="solid">
          <fgColor indexed="64"/>
          <bgColor theme="9" tint="0.79998168889431442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(* #,##0.00_);_(* \(#,##0.00\);_(* &quot;-&quot;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(* #,##0.00_);_(* \(#,##0.00\);_(* &quot;-&quot;_);_(@_)"/>
      <fill>
        <patternFill patternType="solid">
          <fgColor indexed="64"/>
          <bgColor theme="9" tint="0.79998168889431442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(* #,##0.00_);_(* \(#,##0.00\);_(* &quot;-&quot;_);_(@_)"/>
      <fill>
        <patternFill patternType="solid">
          <fgColor indexed="64"/>
          <bgColor theme="9" tint="0.79998168889431442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(* #,##0.00_);_(* \(#,##0.00\);_(* &quot;-&quot;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(* #,##0_);_(* \(#,##0\);_(* &quot;-&quot;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(* #,##0.00_);_(* \(#,##0.00\);_(* &quot;-&quot;_);_(@_)"/>
      <fill>
        <patternFill patternType="solid">
          <fgColor indexed="64"/>
          <bgColor theme="9" tint="0.79998168889431442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(* #,##0.00_);_(* \(#,##0.00\);_(* &quot;-&quot;_);_(@_)"/>
      <fill>
        <patternFill patternType="solid">
          <fgColor indexed="64"/>
          <bgColor theme="9" tint="0.79998168889431442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(* #,##0.00_);_(* \(#,##0.00\);_(* &quot;-&quot;_);_(@_)"/>
      <fill>
        <patternFill patternType="solid">
          <fgColor indexed="64"/>
          <bgColor theme="9" tint="0.79998168889431442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(* #,##0.00_);_(* \(#,##0.00\);_(* &quot;-&quot;_);_(@_)"/>
      <fill>
        <patternFill patternType="none">
          <fgColor indexed="64"/>
          <bgColor theme="9" tint="0.79998168889431442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theme="9" tint="0.79998168889431442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(* #,##0.00_);_(* \(#,##0.00\);_(* &quot;-&quot;_);_(@_)"/>
      <fill>
        <patternFill patternType="solid">
          <fgColor indexed="64"/>
          <bgColor theme="9" tint="0.79998168889431442"/>
        </patternFill>
      </fill>
      <alignment horizontal="general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(* #,##0.00_);_(* \(#,##0.00\);_(* &quot;-&quot;_);_(@_)"/>
      <fill>
        <patternFill patternType="solid">
          <fgColor indexed="64"/>
          <bgColor theme="9" tint="0.79998168889431442"/>
        </patternFill>
      </fill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(* #,##0.00_);_(* \(#,##0.00\);_(* &quot;-&quot;_);_(@_)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(* #,##0_);_(* \(#,##0\);_(* &quot;-&quot;_);_(@_)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60D4B22-4BE6-41AA-9EEA-905656574DFE}">
    <nsvFilter filterId="{AE5F16C9-17E9-4CB4-B98E-03C6C35CB106}" ref="A2:Y299" tableId="1">
      <sortRules>
        <sortRule colId="0" id="{E5C07943-4CE0-46F6-80EB-478B8920C77A}">
          <sortCondition ref="A2:A299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14651C-69C8-4164-9797-C6AC99C80D10}" name="Table1" displayName="Table1" ref="A1:Y299" totalsRowCount="1" headerRowDxfId="62" dataDxfId="61">
  <autoFilter ref="A1:Y298" xr:uid="{AE5F16C9-17E9-4CB4-B98E-03C6C35CB106}"/>
  <sortState ref="A2:Y196">
    <sortCondition ref="A1:A196"/>
  </sortState>
  <tableColumns count="25">
    <tableColumn id="1" xr3:uid="{E5C07943-4CE0-46F6-80EB-478B8920C77A}" name="No" dataDxfId="60" totalsRowDxfId="35"/>
    <tableColumn id="19" xr3:uid="{01C98796-FAA9-4E27-8054-8A01F7049444}" name="Date" dataDxfId="59" totalsRowDxfId="34"/>
    <tableColumn id="8" xr3:uid="{89C1D992-B05E-4496-B457-AC0BD19A352B}" name="Category" dataDxfId="58" totalsRowDxfId="33"/>
    <tableColumn id="21" xr3:uid="{377917BC-ACD6-4B0F-8A22-C2A0D1EC6680}" name="Quotation Type" dataDxfId="57" totalsRowDxfId="32"/>
    <tableColumn id="18" xr3:uid="{26231853-84CF-492D-A2D5-7E3221CA089E}" name="Quotation No" dataDxfId="56" totalsRowDxfId="31"/>
    <tableColumn id="2" xr3:uid="{B9CEACD3-0F7C-47D0-AB39-BA3A910F65EC}" name="Training Type" dataDxfId="55" totalsRowDxfId="30"/>
    <tableColumn id="3" xr3:uid="{5A6BC519-FE15-4FEF-829A-8149951417A9}" name="Company/Client" dataDxfId="54" totalsRowDxfId="29"/>
    <tableColumn id="23" xr3:uid="{5FF7E03E-4E70-4E13-97D8-7043F4750E4A}" name="Account Manager" dataDxfId="53" totalsRowDxfId="28"/>
    <tableColumn id="4" xr3:uid="{40A3B876-0041-48BE-A993-9825344F616F}" name="Project Title" dataDxfId="52" totalsRowDxfId="27"/>
    <tableColumn id="5" xr3:uid="{08320622-697A-4613-A58B-7ADAD7009027}" name="PIC - Full Name" dataDxfId="51" totalsRowDxfId="26"/>
    <tableColumn id="6" xr3:uid="{504FF6B9-347C-49F2-9711-00A8AEDB7AEA}" name="PIC - Contact No" dataDxfId="50" totalsRowDxfId="25"/>
    <tableColumn id="7" xr3:uid="{130CF455-1D31-4EC2-9E06-D17BEFA27E9C}" name="PIC - Email Add" dataDxfId="49" totalsRowDxfId="24"/>
    <tableColumn id="9" xr3:uid="{716570B6-59D6-41A8-AED3-AE4665C79217}" name="Duration - Days" dataDxfId="48" totalsRowDxfId="23"/>
    <tableColumn id="10" xr3:uid="{71F7A4DF-B510-4330-A7E9-3A691AB7459C}" name="No of Unit" dataDxfId="47" totalsRowDxfId="22"/>
    <tableColumn id="11" xr3:uid="{B9D7DB2B-973C-4935-ABBE-F2E6B33C20E5}" name="Unit Price without SST" dataDxfId="46" totalsRowDxfId="21">
      <calculatedColumnFormula>Table1[[#This Row],[Unit Price with SST 8%]]/1.08</calculatedColumnFormula>
    </tableColumn>
    <tableColumn id="12" xr3:uid="{573D3A6C-D04C-4D6B-B000-9372D0EE0117}" name="Unit Price with SST 8%" dataDxfId="45" totalsRowDxfId="20"/>
    <tableColumn id="13" xr3:uid="{3C6395A8-101E-43B6-9482-E7A1629EF19A}" name="Total Price without SST" dataDxfId="44" totalsRowDxfId="19">
      <calculatedColumnFormula>Table1[[#This Row],[Unit Price without SST]]*Table1[[#This Row],[No of Unit]]</calculatedColumnFormula>
    </tableColumn>
    <tableColumn id="14" xr3:uid="{662ED88D-D2CA-4295-B4D0-6DE1FA7D3644}" name="Total Price with SST 8%" dataDxfId="43" totalsRowDxfId="18">
      <calculatedColumnFormula>Table1[[#This Row],[Unit Price with SST 8%]]*Table1[[#This Row],[No of Unit]]</calculatedColumnFormula>
    </tableColumn>
    <tableColumn id="16" xr3:uid="{93B8976F-2068-43D5-8898-EC8A4218A22C}" name="SST 8% Amount" dataDxfId="42" totalsRowDxfId="17">
      <calculatedColumnFormula>Table1[[#This Row],[Total Price with SST 8%]]-Table1[[#This Row],[Total Price without SST]]</calculatedColumnFormula>
    </tableColumn>
    <tableColumn id="20" xr3:uid="{9FE12888-7563-439D-8F80-CBE4DD029A11}" name="Discount %" dataDxfId="41" totalsRowDxfId="16"/>
    <tableColumn id="17" xr3:uid="{A70933B7-B869-478D-9FA9-A5217F801AC1}" name="Final Price" totalsRowFunction="custom" dataDxfId="40" totalsRowDxfId="15">
      <calculatedColumnFormula>Table1[[#This Row],[Total Price with SST 8%]]-(Table1[[#This Row],[Total Price with SST 8%]]*Table1[[#This Row],[Discount %]]/100)</calculatedColumnFormula>
      <totalsRowFormula>SUM(Table1[Final Price])</totalsRowFormula>
    </tableColumn>
    <tableColumn id="22" xr3:uid="{E87057B2-EE6E-44A2-8AA4-02544C7367F2}" name="Status" dataDxfId="39" totalsRowDxfId="14"/>
    <tableColumn id="26" xr3:uid="{4B67FF18-B3C3-4268-8CD0-F4556E7ACF4F}" name="Payment Status" dataDxfId="38" totalsRowDxfId="13"/>
    <tableColumn id="28" xr3:uid="{38133DB0-A131-4CBE-8C83-8F533CDDD18E}" name="Project Status" dataDxfId="37" totalsRowDxfId="12"/>
    <tableColumn id="15" xr3:uid="{943BC302-C89C-4E59-9DAF-F18407BFB324}" name="Prepared by" dataDxfId="36" totalsRowDxfId="1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slim@primal.com" TargetMode="External"/><Relationship Id="rId13" Type="http://schemas.openxmlformats.org/officeDocument/2006/relationships/hyperlink" Target="mailto:auzilnahari.kl@utm.my" TargetMode="External"/><Relationship Id="rId18" Type="http://schemas.openxmlformats.org/officeDocument/2006/relationships/hyperlink" Target="mailto:shaiful.annuar@jpn.gov.my" TargetMode="External"/><Relationship Id="rId26" Type="http://schemas.microsoft.com/office/2019/04/relationships/namedSheetView" Target="../namedSheetViews/namedSheetView1.xml"/><Relationship Id="rId3" Type="http://schemas.openxmlformats.org/officeDocument/2006/relationships/hyperlink" Target="mailto:najib.othman@sgs.com" TargetMode="External"/><Relationship Id="rId21" Type="http://schemas.openxmlformats.org/officeDocument/2006/relationships/hyperlink" Target="mailto:fais@insken.gov.my" TargetMode="External"/><Relationship Id="rId7" Type="http://schemas.openxmlformats.org/officeDocument/2006/relationships/hyperlink" Target="mailto:kiewcs@boh.com.my" TargetMode="External"/><Relationship Id="rId12" Type="http://schemas.openxmlformats.org/officeDocument/2006/relationships/hyperlink" Target="mailto:susie.tamin@myid.my" TargetMode="External"/><Relationship Id="rId17" Type="http://schemas.openxmlformats.org/officeDocument/2006/relationships/hyperlink" Target="mailto:aaishah@kpkt.gov.my" TargetMode="External"/><Relationship Id="rId25" Type="http://schemas.openxmlformats.org/officeDocument/2006/relationships/table" Target="../tables/table1.xml"/><Relationship Id="rId2" Type="http://schemas.openxmlformats.org/officeDocument/2006/relationships/hyperlink" Target="mailto:rajanur@mdec.com.my" TargetMode="External"/><Relationship Id="rId16" Type="http://schemas.openxmlformats.org/officeDocument/2006/relationships/hyperlink" Target="mailto:aaishah@kpkt.gov.my" TargetMode="External"/><Relationship Id="rId20" Type="http://schemas.openxmlformats.org/officeDocument/2006/relationships/hyperlink" Target="mailto:fais@insken.gov.my" TargetMode="External"/><Relationship Id="rId1" Type="http://schemas.openxmlformats.org/officeDocument/2006/relationships/hyperlink" Target="mailto:vl.victoryintelligence@gmal.com" TargetMode="External"/><Relationship Id="rId6" Type="http://schemas.openxmlformats.org/officeDocument/2006/relationships/hyperlink" Target="mailto:kiewcs@boh.com.my" TargetMode="External"/><Relationship Id="rId11" Type="http://schemas.openxmlformats.org/officeDocument/2006/relationships/hyperlink" Target="mailto:auzilnahari.kl@utm.my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admin@sustainable-business.net" TargetMode="External"/><Relationship Id="rId15" Type="http://schemas.openxmlformats.org/officeDocument/2006/relationships/hyperlink" Target="mailto:saiful.hayaz@might.org.my" TargetMode="External"/><Relationship Id="rId23" Type="http://schemas.openxmlformats.org/officeDocument/2006/relationships/hyperlink" Target="mailto:noora@sirim.my" TargetMode="External"/><Relationship Id="rId10" Type="http://schemas.openxmlformats.org/officeDocument/2006/relationships/hyperlink" Target="mailto:hazroll@ketengahgov.my" TargetMode="External"/><Relationship Id="rId19" Type="http://schemas.openxmlformats.org/officeDocument/2006/relationships/hyperlink" Target="mailto:shakam6907@gmail.com" TargetMode="External"/><Relationship Id="rId4" Type="http://schemas.openxmlformats.org/officeDocument/2006/relationships/hyperlink" Target="mailto:admin@sustainable-business.net" TargetMode="External"/><Relationship Id="rId9" Type="http://schemas.openxmlformats.org/officeDocument/2006/relationships/hyperlink" Target="mailto:hazroll@ketengahgov.my" TargetMode="External"/><Relationship Id="rId14" Type="http://schemas.openxmlformats.org/officeDocument/2006/relationships/hyperlink" Target="mailto:management@embodera.com" TargetMode="External"/><Relationship Id="rId22" Type="http://schemas.openxmlformats.org/officeDocument/2006/relationships/hyperlink" Target="mailto:adammohammad.zahanuddin@nanoskunkwork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63EC-E492-4040-8B05-222388BE7AAF}">
  <dimension ref="A1:AW302"/>
  <sheetViews>
    <sheetView tabSelected="1" workbookViewId="0">
      <pane xSplit="7" topLeftCell="M1" activePane="topRight" state="frozen"/>
      <selection pane="topRight" sqref="A1:XFD1048576"/>
    </sheetView>
  </sheetViews>
  <sheetFormatPr defaultColWidth="9.1796875" defaultRowHeight="15" customHeight="1"/>
  <cols>
    <col min="1" max="1" width="5.26953125" style="1" bestFit="1" customWidth="1"/>
    <col min="2" max="2" width="9.54296875" style="30" bestFit="1" customWidth="1"/>
    <col min="3" max="3" width="9.81640625" style="1" bestFit="1" customWidth="1"/>
    <col min="4" max="4" width="24.453125" style="1" bestFit="1" customWidth="1"/>
    <col min="5" max="5" width="24.90625" style="1" bestFit="1" customWidth="1"/>
    <col min="6" max="6" width="13.36328125" style="1" bestFit="1" customWidth="1"/>
    <col min="7" max="7" width="41.90625" style="1" bestFit="1" customWidth="1"/>
    <col min="8" max="8" width="16.54296875" style="1" bestFit="1" customWidth="1"/>
    <col min="9" max="9" width="92.90625" style="1" bestFit="1" customWidth="1"/>
    <col min="10" max="10" width="28.81640625" style="1" bestFit="1" customWidth="1"/>
    <col min="11" max="11" width="44.36328125" style="1" bestFit="1" customWidth="1"/>
    <col min="12" max="12" width="42.54296875" style="1" bestFit="1" customWidth="1"/>
    <col min="13" max="13" width="15" style="1" bestFit="1" customWidth="1"/>
    <col min="14" max="14" width="11" style="1" bestFit="1" customWidth="1"/>
    <col min="15" max="15" width="20.26953125" style="1" bestFit="1" customWidth="1"/>
    <col min="16" max="16" width="20.36328125" style="1" bestFit="1" customWidth="1"/>
    <col min="17" max="17" width="20.90625" style="1" bestFit="1" customWidth="1"/>
    <col min="18" max="18" width="21" style="1" bestFit="1" customWidth="1"/>
    <col min="19" max="19" width="15" style="1" bestFit="1" customWidth="1"/>
    <col min="20" max="20" width="11.6328125" style="1" bestFit="1" customWidth="1"/>
    <col min="21" max="21" width="12.36328125" style="1" bestFit="1" customWidth="1"/>
    <col min="22" max="22" width="10.26953125" style="1" bestFit="1" customWidth="1"/>
    <col min="23" max="23" width="16.1796875" style="1" bestFit="1" customWidth="1"/>
    <col min="24" max="24" width="14.7265625" style="1" bestFit="1" customWidth="1"/>
    <col min="25" max="25" width="32.08984375" style="1" bestFit="1" customWidth="1"/>
    <col min="26" max="26" width="9" style="1" bestFit="1" customWidth="1"/>
    <col min="27" max="37" width="9.1796875" style="1"/>
    <col min="38" max="49" width="9.1796875" style="55"/>
    <col min="50" max="16384" width="9.1796875" style="1"/>
  </cols>
  <sheetData>
    <row r="1" spans="1:49" ht="15" customHeight="1">
      <c r="A1" s="1" t="s">
        <v>0</v>
      </c>
      <c r="B1" s="3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49" ht="15" customHeight="1">
      <c r="A2" s="1">
        <v>1</v>
      </c>
      <c r="B2" s="31">
        <v>46009</v>
      </c>
      <c r="C2" s="1" t="s">
        <v>25</v>
      </c>
      <c r="D2" s="1" t="s">
        <v>25</v>
      </c>
      <c r="E2" s="1" t="s">
        <v>26</v>
      </c>
      <c r="F2" s="1" t="s">
        <v>27</v>
      </c>
      <c r="G2" s="1" t="s">
        <v>28</v>
      </c>
      <c r="I2" s="1" t="s">
        <v>29</v>
      </c>
      <c r="J2" s="1" t="s">
        <v>30</v>
      </c>
      <c r="K2" s="1" t="s">
        <v>31</v>
      </c>
      <c r="L2" s="7" t="s">
        <v>32</v>
      </c>
      <c r="M2" s="1">
        <v>5</v>
      </c>
      <c r="N2" s="1">
        <v>2</v>
      </c>
      <c r="O2" s="4">
        <f>Table1[[#This Row],[Unit Price with SST 8%]]/1.08</f>
        <v>9722.2222222222208</v>
      </c>
      <c r="P2" s="2">
        <v>10500</v>
      </c>
      <c r="Q2" s="4">
        <f>Table1[[#This Row],[Unit Price without SST]]*Table1[[#This Row],[No of Unit]]</f>
        <v>19444.444444444442</v>
      </c>
      <c r="R2" s="5">
        <f>Table1[[#This Row],[Unit Price with SST 8%]]*Table1[[#This Row],[No of Unit]]</f>
        <v>21000</v>
      </c>
      <c r="S2" s="3">
        <f>Table1[[#This Row],[Total Price with SST 8%]]-Table1[[#This Row],[Total Price without SST]]</f>
        <v>1555.5555555555584</v>
      </c>
      <c r="U2" s="5">
        <f>Table1[[#This Row],[Total Price with SST 8%]]-(Table1[[#This Row],[Total Price with SST 8%]]*Table1[[#This Row],[Discount %]]/100)</f>
        <v>21000</v>
      </c>
      <c r="V2" s="5" t="s">
        <v>33</v>
      </c>
      <c r="W2" s="5"/>
      <c r="X2" s="5"/>
      <c r="Y2" s="1" t="s">
        <v>34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15" customHeight="1">
      <c r="A3" s="1">
        <v>2</v>
      </c>
      <c r="B3" s="31">
        <v>46009</v>
      </c>
      <c r="C3" s="1" t="s">
        <v>25</v>
      </c>
      <c r="D3" s="1" t="s">
        <v>25</v>
      </c>
      <c r="E3" s="1" t="s">
        <v>35</v>
      </c>
      <c r="F3" s="1" t="s">
        <v>36</v>
      </c>
      <c r="G3" s="1" t="s">
        <v>37</v>
      </c>
      <c r="I3" s="1" t="s">
        <v>38</v>
      </c>
      <c r="J3" s="1" t="s">
        <v>39</v>
      </c>
      <c r="K3" s="1" t="s">
        <v>40</v>
      </c>
      <c r="L3" s="7" t="s">
        <v>41</v>
      </c>
      <c r="M3" s="1">
        <v>2</v>
      </c>
      <c r="N3" s="1">
        <v>20</v>
      </c>
      <c r="O3" s="4">
        <f>Table1[[#This Row],[Unit Price with SST 8%]]/1.08</f>
        <v>972.22222222222217</v>
      </c>
      <c r="P3" s="2">
        <v>1050</v>
      </c>
      <c r="Q3" s="4">
        <f>Table1[[#This Row],[Unit Price without SST]]*Table1[[#This Row],[No of Unit]]</f>
        <v>19444.444444444445</v>
      </c>
      <c r="R3" s="5">
        <f>Table1[[#This Row],[Unit Price with SST 8%]]*Table1[[#This Row],[No of Unit]]</f>
        <v>21000</v>
      </c>
      <c r="S3" s="3">
        <f>Table1[[#This Row],[Total Price with SST 8%]]-Table1[[#This Row],[Total Price without SST]]</f>
        <v>1555.5555555555547</v>
      </c>
      <c r="U3" s="5">
        <f>Table1[[#This Row],[Total Price with SST 8%]]-(Table1[[#This Row],[Total Price with SST 8%]]*Table1[[#This Row],[Discount %]]/100)</f>
        <v>21000</v>
      </c>
      <c r="V3" s="5" t="s">
        <v>33</v>
      </c>
      <c r="W3" s="5"/>
      <c r="X3" s="5"/>
      <c r="Y3" s="1" t="s">
        <v>34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15" customHeight="1">
      <c r="A4" s="1">
        <v>3</v>
      </c>
      <c r="B4" s="31">
        <v>46009</v>
      </c>
      <c r="C4" s="1" t="s">
        <v>25</v>
      </c>
      <c r="D4" s="1" t="s">
        <v>25</v>
      </c>
      <c r="E4" s="1" t="s">
        <v>42</v>
      </c>
      <c r="F4" s="1" t="s">
        <v>27</v>
      </c>
      <c r="G4" s="1" t="s">
        <v>43</v>
      </c>
      <c r="I4" s="1" t="s">
        <v>29</v>
      </c>
      <c r="J4" s="1" t="s">
        <v>44</v>
      </c>
      <c r="K4" s="1" t="s">
        <v>45</v>
      </c>
      <c r="L4" s="7" t="s">
        <v>46</v>
      </c>
      <c r="M4" s="1">
        <v>5</v>
      </c>
      <c r="N4" s="1">
        <v>1</v>
      </c>
      <c r="O4" s="4">
        <f>Table1[[#This Row],[Unit Price with SST 8%]]/1.08</f>
        <v>9722.2222222222208</v>
      </c>
      <c r="P4" s="2">
        <v>10500</v>
      </c>
      <c r="Q4" s="4">
        <f>Table1[[#This Row],[Unit Price without SST]]*Table1[[#This Row],[No of Unit]]</f>
        <v>9722.2222222222208</v>
      </c>
      <c r="R4" s="5">
        <v>10500</v>
      </c>
      <c r="S4" s="3">
        <f>Table1[[#This Row],[Total Price with SST 8%]]-Table1[[#This Row],[Total Price without SST]]</f>
        <v>777.77777777777919</v>
      </c>
      <c r="U4" s="5">
        <f>Table1[[#This Row],[Total Price with SST 8%]]-(Table1[[#This Row],[Total Price with SST 8%]]*Table1[[#This Row],[Discount %]]/100)</f>
        <v>10500</v>
      </c>
      <c r="V4" s="5" t="s">
        <v>33</v>
      </c>
      <c r="W4" s="5"/>
      <c r="X4" s="5"/>
      <c r="Y4" s="1" t="s">
        <v>34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15" customHeight="1">
      <c r="A5" s="1">
        <v>4</v>
      </c>
      <c r="B5" s="31">
        <v>46010</v>
      </c>
      <c r="C5" s="1" t="s">
        <v>25</v>
      </c>
      <c r="D5" s="1" t="s">
        <v>25</v>
      </c>
      <c r="E5" s="1" t="s">
        <v>47</v>
      </c>
      <c r="F5" s="1" t="s">
        <v>27</v>
      </c>
      <c r="G5" s="1" t="s">
        <v>48</v>
      </c>
      <c r="I5" s="1" t="s">
        <v>49</v>
      </c>
      <c r="J5" s="1" t="s">
        <v>50</v>
      </c>
      <c r="K5" s="1" t="s">
        <v>51</v>
      </c>
      <c r="L5" s="8" t="s">
        <v>52</v>
      </c>
      <c r="M5" s="1">
        <v>2</v>
      </c>
      <c r="N5" s="1">
        <v>1</v>
      </c>
      <c r="O5" s="4">
        <f>Table1[[#This Row],[Unit Price with SST 8%]]/1.08</f>
        <v>1842.5925925925924</v>
      </c>
      <c r="P5" s="2">
        <v>1990</v>
      </c>
      <c r="Q5" s="4">
        <f>Table1[[#This Row],[Unit Price without SST]]*Table1[[#This Row],[No of Unit]]</f>
        <v>1842.5925925925924</v>
      </c>
      <c r="R5" s="5">
        <f>Table1[[#This Row],[Unit Price with SST 8%]]*Table1[[#This Row],[No of Unit]]</f>
        <v>1990</v>
      </c>
      <c r="S5" s="3">
        <f>Table1[[#This Row],[Total Price with SST 8%]]-Table1[[#This Row],[Total Price without SST]]</f>
        <v>147.40740740740762</v>
      </c>
      <c r="U5" s="5">
        <f>Table1[[#This Row],[Total Price with SST 8%]]-(Table1[[#This Row],[Total Price with SST 8%]]*Table1[[#This Row],[Discount %]]/100)</f>
        <v>1990</v>
      </c>
      <c r="V5" s="5" t="s">
        <v>33</v>
      </c>
      <c r="W5" s="5"/>
      <c r="X5" s="5"/>
      <c r="Y5" s="1" t="s">
        <v>53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15" customHeight="1">
      <c r="A6" s="1">
        <v>5</v>
      </c>
      <c r="B6" s="31">
        <v>46010</v>
      </c>
      <c r="C6" s="1" t="s">
        <v>25</v>
      </c>
      <c r="D6" s="1" t="s">
        <v>25</v>
      </c>
      <c r="E6" s="1" t="s">
        <v>54</v>
      </c>
      <c r="F6" s="1" t="s">
        <v>36</v>
      </c>
      <c r="G6" s="1" t="s">
        <v>48</v>
      </c>
      <c r="I6" s="1" t="s">
        <v>29</v>
      </c>
      <c r="J6" s="1" t="s">
        <v>50</v>
      </c>
      <c r="K6" s="1" t="s">
        <v>51</v>
      </c>
      <c r="L6" s="8" t="s">
        <v>52</v>
      </c>
      <c r="M6" s="1">
        <v>5</v>
      </c>
      <c r="N6" s="1">
        <v>1</v>
      </c>
      <c r="O6" s="4">
        <f>Table1[[#This Row],[Unit Price with SST 8%]]/1.08</f>
        <v>9722.2222222222208</v>
      </c>
      <c r="P6" s="2">
        <v>10500</v>
      </c>
      <c r="Q6" s="4">
        <f>Table1[[#This Row],[Unit Price without SST]]*Table1[[#This Row],[No of Unit]]</f>
        <v>9722.2222222222208</v>
      </c>
      <c r="R6" s="5">
        <f>Table1[[#This Row],[Unit Price with SST 8%]]*Table1[[#This Row],[No of Unit]]</f>
        <v>10500</v>
      </c>
      <c r="S6" s="3">
        <f>Table1[[#This Row],[Total Price with SST 8%]]-Table1[[#This Row],[Total Price without SST]]</f>
        <v>777.77777777777919</v>
      </c>
      <c r="U6" s="5">
        <f>Table1[[#This Row],[Total Price with SST 8%]]-(Table1[[#This Row],[Total Price with SST 8%]]*Table1[[#This Row],[Discount %]]/100)</f>
        <v>10500</v>
      </c>
      <c r="V6" s="5" t="s">
        <v>33</v>
      </c>
      <c r="W6" s="5"/>
      <c r="X6" s="5"/>
      <c r="Y6" s="1" t="s">
        <v>53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t="15" customHeight="1">
      <c r="A7" s="1">
        <v>6</v>
      </c>
      <c r="B7" s="31">
        <v>46010</v>
      </c>
      <c r="C7" s="1" t="s">
        <v>25</v>
      </c>
      <c r="D7" s="1" t="s">
        <v>25</v>
      </c>
      <c r="E7" s="1" t="s">
        <v>55</v>
      </c>
      <c r="F7" s="1" t="s">
        <v>27</v>
      </c>
      <c r="G7" s="1" t="s">
        <v>56</v>
      </c>
      <c r="I7" s="1" t="s">
        <v>49</v>
      </c>
      <c r="J7" s="1" t="s">
        <v>57</v>
      </c>
      <c r="K7" s="1" t="s">
        <v>58</v>
      </c>
      <c r="L7" s="8" t="s">
        <v>59</v>
      </c>
      <c r="M7" s="1">
        <v>2</v>
      </c>
      <c r="N7" s="1">
        <v>1</v>
      </c>
      <c r="O7" s="4">
        <f>Table1[[#This Row],[Unit Price with SST 8%]]/1.08</f>
        <v>1842.5925925925924</v>
      </c>
      <c r="P7" s="2">
        <v>1990</v>
      </c>
      <c r="Q7" s="4">
        <f>Table1[[#This Row],[Unit Price without SST]]*Table1[[#This Row],[No of Unit]]</f>
        <v>1842.5925925925924</v>
      </c>
      <c r="R7" s="5">
        <f>Table1[[#This Row],[Unit Price with SST 8%]]*Table1[[#This Row],[No of Unit]]</f>
        <v>1990</v>
      </c>
      <c r="S7" s="3">
        <f>Table1[[#This Row],[Total Price with SST 8%]]-Table1[[#This Row],[Total Price without SST]]</f>
        <v>147.40740740740762</v>
      </c>
      <c r="U7" s="5">
        <f>Table1[[#This Row],[Total Price with SST 8%]]-(Table1[[#This Row],[Total Price with SST 8%]]*Table1[[#This Row],[Discount %]]/100)</f>
        <v>1990</v>
      </c>
      <c r="V7" s="5" t="s">
        <v>33</v>
      </c>
      <c r="W7" s="5"/>
      <c r="X7" s="5"/>
      <c r="Y7" s="1" t="s">
        <v>53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t="15" customHeight="1">
      <c r="A8" s="1">
        <v>7</v>
      </c>
      <c r="B8" s="31">
        <v>46010</v>
      </c>
      <c r="C8" s="1" t="s">
        <v>25</v>
      </c>
      <c r="D8" s="1" t="s">
        <v>25</v>
      </c>
      <c r="E8" s="1" t="s">
        <v>60</v>
      </c>
      <c r="F8" s="1" t="s">
        <v>36</v>
      </c>
      <c r="G8" s="1" t="s">
        <v>56</v>
      </c>
      <c r="I8" s="1" t="s">
        <v>38</v>
      </c>
      <c r="J8" s="1" t="s">
        <v>57</v>
      </c>
      <c r="K8" s="1" t="s">
        <v>58</v>
      </c>
      <c r="L8" s="8" t="s">
        <v>59</v>
      </c>
      <c r="M8" s="1">
        <v>2</v>
      </c>
      <c r="N8" s="1">
        <v>25</v>
      </c>
      <c r="O8" s="4">
        <f>Table1[[#This Row],[Unit Price with SST 8%]]/1.08</f>
        <v>777.77777777777771</v>
      </c>
      <c r="P8" s="2">
        <v>840</v>
      </c>
      <c r="Q8" s="4">
        <f>Table1[[#This Row],[Unit Price without SST]]*Table1[[#This Row],[No of Unit]]</f>
        <v>19444.444444444442</v>
      </c>
      <c r="R8" s="5">
        <f>Table1[[#This Row],[Unit Price with SST 8%]]*Table1[[#This Row],[No of Unit]]</f>
        <v>21000</v>
      </c>
      <c r="S8" s="3">
        <f>Table1[[#This Row],[Total Price with SST 8%]]-Table1[[#This Row],[Total Price without SST]]</f>
        <v>1555.5555555555584</v>
      </c>
      <c r="U8" s="5">
        <f>Table1[[#This Row],[Total Price with SST 8%]]-(Table1[[#This Row],[Total Price with SST 8%]]*Table1[[#This Row],[Discount %]]/100)</f>
        <v>21000</v>
      </c>
      <c r="V8" s="5" t="s">
        <v>33</v>
      </c>
      <c r="W8" s="5"/>
      <c r="X8" s="5"/>
      <c r="Y8" s="1" t="s">
        <v>53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ht="15" customHeight="1">
      <c r="A9" s="1">
        <v>8</v>
      </c>
      <c r="B9" s="31">
        <v>46010</v>
      </c>
      <c r="C9" s="1" t="s">
        <v>25</v>
      </c>
      <c r="D9" s="1" t="s">
        <v>25</v>
      </c>
      <c r="E9" s="1" t="s">
        <v>61</v>
      </c>
      <c r="F9" s="1" t="s">
        <v>27</v>
      </c>
      <c r="G9" s="1" t="s">
        <v>62</v>
      </c>
      <c r="I9" s="1" t="s">
        <v>49</v>
      </c>
      <c r="J9" s="1" t="s">
        <v>63</v>
      </c>
      <c r="K9" s="1" t="s">
        <v>64</v>
      </c>
      <c r="L9" s="8" t="s">
        <v>65</v>
      </c>
      <c r="M9" s="1">
        <v>2</v>
      </c>
      <c r="N9" s="1">
        <v>1</v>
      </c>
      <c r="O9" s="4">
        <f>Table1[[#This Row],[Unit Price with SST 8%]]/1.08</f>
        <v>1842.5925925925924</v>
      </c>
      <c r="P9" s="2">
        <v>1990</v>
      </c>
      <c r="Q9" s="4">
        <f>Table1[[#This Row],[Unit Price without SST]]*Table1[[#This Row],[No of Unit]]</f>
        <v>1842.5925925925924</v>
      </c>
      <c r="R9" s="5">
        <f>Table1[[#This Row],[Unit Price with SST 8%]]*Table1[[#This Row],[No of Unit]]</f>
        <v>1990</v>
      </c>
      <c r="S9" s="3">
        <f>Table1[[#This Row],[Total Price with SST 8%]]-Table1[[#This Row],[Total Price without SST]]</f>
        <v>147.40740740740762</v>
      </c>
      <c r="U9" s="5">
        <f>Table1[[#This Row],[Total Price with SST 8%]]-(Table1[[#This Row],[Total Price with SST 8%]]*Table1[[#This Row],[Discount %]]/100)</f>
        <v>1990</v>
      </c>
      <c r="V9" s="5" t="s">
        <v>33</v>
      </c>
      <c r="W9" s="5"/>
      <c r="X9" s="5"/>
      <c r="Y9" s="1" t="s">
        <v>53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t="15" customHeight="1">
      <c r="A10" s="1">
        <v>9</v>
      </c>
      <c r="B10" s="31">
        <v>46021</v>
      </c>
      <c r="C10" s="1" t="s">
        <v>25</v>
      </c>
      <c r="D10" s="1" t="s">
        <v>25</v>
      </c>
      <c r="E10" s="1" t="s">
        <v>66</v>
      </c>
      <c r="F10" s="1" t="s">
        <v>36</v>
      </c>
      <c r="G10" s="1" t="s">
        <v>67</v>
      </c>
      <c r="I10" s="1" t="s">
        <v>38</v>
      </c>
      <c r="J10" s="1" t="s">
        <v>68</v>
      </c>
      <c r="K10" s="1" t="s">
        <v>69</v>
      </c>
      <c r="L10" s="8" t="s">
        <v>70</v>
      </c>
      <c r="M10" s="1">
        <v>2</v>
      </c>
      <c r="N10" s="1">
        <v>25</v>
      </c>
      <c r="O10" s="4">
        <f>Table1[[#This Row],[Unit Price with SST 8%]]/1.08</f>
        <v>777.77777777777771</v>
      </c>
      <c r="P10" s="2">
        <v>840</v>
      </c>
      <c r="Q10" s="4">
        <f>Table1[[#This Row],[Unit Price without SST]]*Table1[[#This Row],[No of Unit]]</f>
        <v>19444.444444444442</v>
      </c>
      <c r="R10" s="5">
        <f>Table1[[#This Row],[Unit Price with SST 8%]]*Table1[[#This Row],[No of Unit]]</f>
        <v>21000</v>
      </c>
      <c r="S10" s="3">
        <f>Table1[[#This Row],[Total Price with SST 8%]]-Table1[[#This Row],[Total Price without SST]]</f>
        <v>1555.5555555555584</v>
      </c>
      <c r="U10" s="5">
        <f>Table1[[#This Row],[Total Price with SST 8%]]-(Table1[[#This Row],[Total Price with SST 8%]]*Table1[[#This Row],[Discount %]]/100)</f>
        <v>21000</v>
      </c>
      <c r="V10" s="5" t="s">
        <v>33</v>
      </c>
      <c r="W10" s="5"/>
      <c r="X10" s="5"/>
      <c r="Y10" s="1" t="s">
        <v>53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t="15" customHeight="1">
      <c r="A11" s="1">
        <v>10</v>
      </c>
      <c r="B11" s="31">
        <v>46021</v>
      </c>
      <c r="C11" s="1" t="s">
        <v>25</v>
      </c>
      <c r="D11" s="1" t="s">
        <v>25</v>
      </c>
      <c r="E11" s="1" t="s">
        <v>71</v>
      </c>
      <c r="F11" s="1" t="s">
        <v>36</v>
      </c>
      <c r="G11" s="1" t="s">
        <v>67</v>
      </c>
      <c r="I11" s="1" t="s">
        <v>72</v>
      </c>
      <c r="J11" s="1" t="s">
        <v>68</v>
      </c>
      <c r="K11" s="1" t="s">
        <v>69</v>
      </c>
      <c r="L11" s="8" t="s">
        <v>70</v>
      </c>
      <c r="M11" s="1">
        <v>24</v>
      </c>
      <c r="N11" s="1">
        <v>300</v>
      </c>
      <c r="O11" s="4">
        <f>Table1[[#This Row],[Unit Price with SST 8%]]/1.08</f>
        <v>777.77777777777771</v>
      </c>
      <c r="P11" s="2">
        <v>840</v>
      </c>
      <c r="Q11" s="4">
        <f>Table1[[#This Row],[Unit Price without SST]]*Table1[[#This Row],[No of Unit]]</f>
        <v>233333.33333333331</v>
      </c>
      <c r="R11" s="5">
        <f>Table1[[#This Row],[Unit Price with SST 8%]]*Table1[[#This Row],[No of Unit]]</f>
        <v>252000</v>
      </c>
      <c r="S11" s="3">
        <f>Table1[[#This Row],[Total Price with SST 8%]]-Table1[[#This Row],[Total Price without SST]]</f>
        <v>18666.666666666686</v>
      </c>
      <c r="U11" s="5">
        <f>Table1[[#This Row],[Total Price with SST 8%]]-(Table1[[#This Row],[Total Price with SST 8%]]*Table1[[#This Row],[Discount %]]/100)</f>
        <v>252000</v>
      </c>
      <c r="V11" s="5" t="s">
        <v>33</v>
      </c>
      <c r="W11" s="5"/>
      <c r="X11" s="5"/>
      <c r="Y11" s="1" t="s">
        <v>53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t="15" customHeight="1">
      <c r="A12" s="1">
        <v>11</v>
      </c>
      <c r="B12" s="31">
        <v>46022</v>
      </c>
      <c r="C12" s="1" t="s">
        <v>25</v>
      </c>
      <c r="D12" s="1" t="s">
        <v>25</v>
      </c>
      <c r="E12" s="1" t="s">
        <v>73</v>
      </c>
      <c r="F12" s="1" t="s">
        <v>27</v>
      </c>
      <c r="G12" s="1" t="s">
        <v>74</v>
      </c>
      <c r="I12" s="1" t="s">
        <v>29</v>
      </c>
      <c r="J12" s="1" t="s">
        <v>75</v>
      </c>
      <c r="L12" s="8" t="s">
        <v>76</v>
      </c>
      <c r="M12" s="1">
        <v>5</v>
      </c>
      <c r="N12" s="1">
        <v>1</v>
      </c>
      <c r="O12" s="4">
        <f>Table1[[#This Row],[Unit Price with SST 8%]]/1.08</f>
        <v>9722.2222222222208</v>
      </c>
      <c r="P12" s="2">
        <v>10500</v>
      </c>
      <c r="Q12" s="4">
        <f>Table1[[#This Row],[Unit Price without SST]]*Table1[[#This Row],[No of Unit]]</f>
        <v>9722.2222222222208</v>
      </c>
      <c r="R12" s="5">
        <f>Table1[[#This Row],[Unit Price with SST 8%]]*Table1[[#This Row],[No of Unit]]</f>
        <v>10500</v>
      </c>
      <c r="S12" s="3">
        <f>Table1[[#This Row],[Total Price with SST 8%]]-Table1[[#This Row],[Total Price without SST]]</f>
        <v>777.77777777777919</v>
      </c>
      <c r="T12" s="1">
        <v>66.666666000000006</v>
      </c>
      <c r="U12" s="5">
        <f>Table1[[#This Row],[Total Price with SST 8%]]-(Table1[[#This Row],[Total Price with SST 8%]]*Table1[[#This Row],[Discount %]]/100)</f>
        <v>3500.0000700000001</v>
      </c>
      <c r="V12" s="5" t="s">
        <v>33</v>
      </c>
      <c r="W12" s="5"/>
      <c r="X12" s="5"/>
      <c r="Y12" s="1" t="s">
        <v>53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s="23" customFormat="1" ht="15" customHeight="1">
      <c r="A13" s="1">
        <v>12</v>
      </c>
      <c r="B13" s="32">
        <v>46029</v>
      </c>
      <c r="C13" s="23" t="s">
        <v>25</v>
      </c>
      <c r="D13" s="23" t="s">
        <v>25</v>
      </c>
      <c r="E13" s="23" t="s">
        <v>77</v>
      </c>
      <c r="F13" s="23" t="s">
        <v>36</v>
      </c>
      <c r="G13" s="23" t="s">
        <v>78</v>
      </c>
      <c r="H13" s="23" t="s">
        <v>79</v>
      </c>
      <c r="I13" s="23" t="s">
        <v>80</v>
      </c>
      <c r="M13" s="23">
        <v>2</v>
      </c>
      <c r="N13" s="23">
        <v>25</v>
      </c>
      <c r="O13" s="24">
        <f>Table1[[#This Row],[Unit Price with SST 8%]]/1.08</f>
        <v>444.4444444444444</v>
      </c>
      <c r="P13" s="25">
        <v>480</v>
      </c>
      <c r="Q13" s="24">
        <f>Table1[[#This Row],[Unit Price without SST]]*Table1[[#This Row],[No of Unit]]</f>
        <v>11111.111111111109</v>
      </c>
      <c r="R13" s="26">
        <f>Table1[[#This Row],[Unit Price with SST 8%]]*Table1[[#This Row],[No of Unit]]</f>
        <v>12000</v>
      </c>
      <c r="S13" s="25">
        <f>Table1[[#This Row],[Total Price with SST 8%]]-Table1[[#This Row],[Total Price without SST]]</f>
        <v>888.88888888889051</v>
      </c>
      <c r="U13" s="26">
        <f>Table1[[#This Row],[Total Price with SST 8%]]-(Table1[[#This Row],[Total Price with SST 8%]]*Table1[[#This Row],[Discount %]]/100)</f>
        <v>12000</v>
      </c>
      <c r="V13" s="26" t="s">
        <v>81</v>
      </c>
      <c r="W13" s="26"/>
      <c r="X13" s="26"/>
      <c r="Y13" s="23" t="s">
        <v>34</v>
      </c>
    </row>
    <row r="14" spans="1:49" ht="15" customHeight="1">
      <c r="A14" s="1">
        <v>13</v>
      </c>
      <c r="B14" s="31">
        <v>46029</v>
      </c>
      <c r="C14" s="1" t="s">
        <v>25</v>
      </c>
      <c r="D14" s="1" t="s">
        <v>25</v>
      </c>
      <c r="E14" s="1" t="s">
        <v>82</v>
      </c>
      <c r="F14" s="1" t="s">
        <v>36</v>
      </c>
      <c r="G14" s="1" t="s">
        <v>78</v>
      </c>
      <c r="H14" s="23" t="s">
        <v>79</v>
      </c>
      <c r="I14" s="1" t="s">
        <v>83</v>
      </c>
      <c r="M14" s="1">
        <v>3</v>
      </c>
      <c r="N14" s="1">
        <v>25</v>
      </c>
      <c r="O14" s="4">
        <f>Table1[[#This Row],[Unit Price with SST 8%]]/1.08</f>
        <v>666.66666666666663</v>
      </c>
      <c r="P14" s="2">
        <v>720</v>
      </c>
      <c r="Q14" s="4">
        <f>Table1[[#This Row],[Unit Price without SST]]*Table1[[#This Row],[No of Unit]]</f>
        <v>16666.666666666664</v>
      </c>
      <c r="R14" s="5">
        <f>Table1[[#This Row],[Unit Price with SST 8%]]*Table1[[#This Row],[No of Unit]]</f>
        <v>18000</v>
      </c>
      <c r="S14" s="3">
        <f>Table1[[#This Row],[Total Price with SST 8%]]-Table1[[#This Row],[Total Price without SST]]</f>
        <v>1333.3333333333358</v>
      </c>
      <c r="U14" s="5">
        <f>Table1[[#This Row],[Total Price with SST 8%]]-(Table1[[#This Row],[Total Price with SST 8%]]*Table1[[#This Row],[Discount %]]/100)</f>
        <v>18000</v>
      </c>
      <c r="V14" s="26" t="s">
        <v>81</v>
      </c>
      <c r="W14" s="26"/>
      <c r="X14" s="26"/>
      <c r="Y14" s="1" t="s">
        <v>34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ht="15" customHeight="1">
      <c r="A15" s="1">
        <v>14</v>
      </c>
      <c r="B15" s="31">
        <v>46029</v>
      </c>
      <c r="C15" s="1" t="s">
        <v>25</v>
      </c>
      <c r="D15" s="1" t="s">
        <v>25</v>
      </c>
      <c r="E15" s="1" t="s">
        <v>84</v>
      </c>
      <c r="F15" s="1" t="s">
        <v>36</v>
      </c>
      <c r="G15" s="1" t="s">
        <v>78</v>
      </c>
      <c r="H15" s="23" t="s">
        <v>79</v>
      </c>
      <c r="I15" s="1" t="s">
        <v>85</v>
      </c>
      <c r="M15" s="1">
        <v>4</v>
      </c>
      <c r="N15" s="1">
        <v>25</v>
      </c>
      <c r="O15" s="4">
        <f>Table1[[#This Row],[Unit Price with SST 8%]]/1.08</f>
        <v>888.8888888888888</v>
      </c>
      <c r="P15" s="2">
        <v>960</v>
      </c>
      <c r="Q15" s="4">
        <f>Table1[[#This Row],[Unit Price without SST]]*Table1[[#This Row],[No of Unit]]</f>
        <v>22222.222222222219</v>
      </c>
      <c r="R15" s="5">
        <f>Table1[[#This Row],[Unit Price with SST 8%]]*Table1[[#This Row],[No of Unit]]</f>
        <v>24000</v>
      </c>
      <c r="S15" s="3">
        <f>Table1[[#This Row],[Total Price with SST 8%]]-Table1[[#This Row],[Total Price without SST]]</f>
        <v>1777.777777777781</v>
      </c>
      <c r="U15" s="5">
        <f>Table1[[#This Row],[Total Price with SST 8%]]-(Table1[[#This Row],[Total Price with SST 8%]]*Table1[[#This Row],[Discount %]]/100)</f>
        <v>24000</v>
      </c>
      <c r="V15" s="26" t="s">
        <v>81</v>
      </c>
      <c r="W15" s="26"/>
      <c r="X15" s="26"/>
      <c r="Y15" s="1" t="s">
        <v>34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ht="15" customHeight="1">
      <c r="A16" s="1">
        <v>15</v>
      </c>
      <c r="B16" s="31">
        <v>46029</v>
      </c>
      <c r="C16" s="1" t="s">
        <v>25</v>
      </c>
      <c r="D16" s="1" t="s">
        <v>25</v>
      </c>
      <c r="E16" s="1" t="s">
        <v>86</v>
      </c>
      <c r="F16" s="1" t="s">
        <v>36</v>
      </c>
      <c r="G16" s="1" t="s">
        <v>78</v>
      </c>
      <c r="H16" s="23" t="s">
        <v>79</v>
      </c>
      <c r="I16" s="1" t="s">
        <v>87</v>
      </c>
      <c r="M16" s="1">
        <v>1</v>
      </c>
      <c r="N16" s="1">
        <v>25</v>
      </c>
      <c r="O16" s="4">
        <f>Table1[[#This Row],[Unit Price with SST 8%]]/1.08</f>
        <v>222.2222222222222</v>
      </c>
      <c r="P16" s="2">
        <v>240</v>
      </c>
      <c r="Q16" s="4">
        <f>Table1[[#This Row],[Unit Price without SST]]*Table1[[#This Row],[No of Unit]]</f>
        <v>5555.5555555555547</v>
      </c>
      <c r="R16" s="5">
        <f>Table1[[#This Row],[Unit Price with SST 8%]]*Table1[[#This Row],[No of Unit]]</f>
        <v>6000</v>
      </c>
      <c r="S16" s="3">
        <f>Table1[[#This Row],[Total Price with SST 8%]]-Table1[[#This Row],[Total Price without SST]]</f>
        <v>444.44444444444525</v>
      </c>
      <c r="U16" s="5">
        <f>Table1[[#This Row],[Total Price with SST 8%]]-(Table1[[#This Row],[Total Price with SST 8%]]*Table1[[#This Row],[Discount %]]/100)</f>
        <v>6000</v>
      </c>
      <c r="V16" s="26" t="s">
        <v>81</v>
      </c>
      <c r="W16" s="26"/>
      <c r="X16" s="26"/>
      <c r="Y16" s="1" t="s">
        <v>34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t="18.75" customHeight="1">
      <c r="A17" s="1">
        <v>16</v>
      </c>
      <c r="B17" s="31">
        <v>46029</v>
      </c>
      <c r="C17" s="1" t="s">
        <v>25</v>
      </c>
      <c r="D17" s="1" t="s">
        <v>25</v>
      </c>
      <c r="E17" s="1" t="s">
        <v>88</v>
      </c>
      <c r="F17" s="1" t="s">
        <v>36</v>
      </c>
      <c r="G17" s="1" t="s">
        <v>78</v>
      </c>
      <c r="H17" s="23" t="s">
        <v>79</v>
      </c>
      <c r="I17" s="1" t="s">
        <v>89</v>
      </c>
      <c r="M17" s="1">
        <v>2</v>
      </c>
      <c r="N17" s="1">
        <v>25</v>
      </c>
      <c r="O17" s="4">
        <f>Table1[[#This Row],[Unit Price with SST 8%]]/1.08</f>
        <v>444.4444444444444</v>
      </c>
      <c r="P17" s="2">
        <v>480</v>
      </c>
      <c r="Q17" s="4">
        <f>Table1[[#This Row],[Unit Price without SST]]*Table1[[#This Row],[No of Unit]]</f>
        <v>11111.111111111109</v>
      </c>
      <c r="R17" s="5">
        <f>Table1[[#This Row],[Unit Price with SST 8%]]*Table1[[#This Row],[No of Unit]]</f>
        <v>12000</v>
      </c>
      <c r="S17" s="3">
        <f>Table1[[#This Row],[Total Price with SST 8%]]-Table1[[#This Row],[Total Price without SST]]</f>
        <v>888.88888888889051</v>
      </c>
      <c r="U17" s="5">
        <f>Table1[[#This Row],[Total Price with SST 8%]]-(Table1[[#This Row],[Total Price with SST 8%]]*Table1[[#This Row],[Discount %]]/100)</f>
        <v>12000</v>
      </c>
      <c r="V17" s="26" t="s">
        <v>81</v>
      </c>
      <c r="W17" s="26"/>
      <c r="X17" s="26"/>
      <c r="Y17" s="1" t="s">
        <v>34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s="10" customFormat="1" ht="15" customHeight="1">
      <c r="A18" s="1">
        <v>17</v>
      </c>
      <c r="B18" s="33">
        <v>46029</v>
      </c>
      <c r="C18" s="10" t="s">
        <v>90</v>
      </c>
      <c r="D18" s="10" t="s">
        <v>91</v>
      </c>
      <c r="E18" s="10" t="s">
        <v>92</v>
      </c>
      <c r="G18" s="10" t="s">
        <v>93</v>
      </c>
      <c r="I18" s="10" t="s">
        <v>94</v>
      </c>
      <c r="J18" s="10" t="s">
        <v>95</v>
      </c>
      <c r="K18" s="10" t="s">
        <v>96</v>
      </c>
      <c r="L18" s="11" t="s">
        <v>97</v>
      </c>
      <c r="M18" s="10">
        <v>1</v>
      </c>
      <c r="N18" s="10">
        <v>1</v>
      </c>
      <c r="O18" s="12">
        <f>Table1[[#This Row],[Unit Price with SST 8%]]/1.08</f>
        <v>31810</v>
      </c>
      <c r="P18" s="13">
        <v>34354.800000000003</v>
      </c>
      <c r="Q18" s="12">
        <f>Table1[[#This Row],[Unit Price without SST]]*Table1[[#This Row],[No of Unit]]</f>
        <v>31810</v>
      </c>
      <c r="R18" s="14">
        <f>Table1[[#This Row],[Unit Price with SST 8%]]*Table1[[#This Row],[No of Unit]]</f>
        <v>34354.800000000003</v>
      </c>
      <c r="S18" s="13">
        <f>Table1[[#This Row],[Total Price with SST 8%]]-Table1[[#This Row],[Total Price without SST]]</f>
        <v>2544.8000000000029</v>
      </c>
      <c r="U18" s="14">
        <f>Table1[[#This Row],[Total Price with SST 8%]]-(Table1[[#This Row],[Total Price with SST 8%]]*Table1[[#This Row],[Discount %]]/100)</f>
        <v>34354.800000000003</v>
      </c>
      <c r="V18" s="14" t="s">
        <v>33</v>
      </c>
      <c r="W18" s="14"/>
      <c r="X18" s="14"/>
      <c r="Y18" s="10" t="s">
        <v>53</v>
      </c>
    </row>
    <row r="19" spans="1:49" ht="15" customHeight="1">
      <c r="A19" s="1">
        <v>18</v>
      </c>
      <c r="B19" s="31">
        <v>46034</v>
      </c>
      <c r="C19" s="1" t="s">
        <v>25</v>
      </c>
      <c r="D19" s="1" t="s">
        <v>25</v>
      </c>
      <c r="E19" s="1" t="s">
        <v>98</v>
      </c>
      <c r="F19" s="1" t="s">
        <v>36</v>
      </c>
      <c r="G19" s="1" t="s">
        <v>99</v>
      </c>
      <c r="I19" s="1" t="s">
        <v>100</v>
      </c>
      <c r="J19" s="1" t="s">
        <v>101</v>
      </c>
      <c r="M19" s="1">
        <v>5</v>
      </c>
      <c r="N19" s="1">
        <v>10</v>
      </c>
      <c r="O19" s="4">
        <f>Table1[[#This Row],[Unit Price with SST 8%]]/1.08</f>
        <v>5092.5925925925922</v>
      </c>
      <c r="P19" s="2">
        <v>5500</v>
      </c>
      <c r="Q19" s="4">
        <f>Table1[[#This Row],[Unit Price without SST]]*Table1[[#This Row],[No of Unit]]</f>
        <v>50925.92592592592</v>
      </c>
      <c r="R19" s="5">
        <f>Table1[[#This Row],[Unit Price with SST 8%]]*Table1[[#This Row],[No of Unit]]</f>
        <v>55000</v>
      </c>
      <c r="S19" s="3">
        <f>Table1[[#This Row],[Total Price with SST 8%]]-Table1[[#This Row],[Total Price without SST]]</f>
        <v>4074.0740740740803</v>
      </c>
      <c r="U19" s="5">
        <f>Table1[[#This Row],[Total Price with SST 8%]]-(Table1[[#This Row],[Total Price with SST 8%]]*Table1[[#This Row],[Discount %]]/100)</f>
        <v>55000</v>
      </c>
      <c r="V19" s="5" t="s">
        <v>33</v>
      </c>
      <c r="W19" s="5"/>
      <c r="X19" s="5"/>
      <c r="Y19" s="1" t="s">
        <v>34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t="15" customHeight="1">
      <c r="A20" s="1">
        <v>19</v>
      </c>
      <c r="B20" s="31">
        <v>46034</v>
      </c>
      <c r="C20" s="1" t="s">
        <v>25</v>
      </c>
      <c r="D20" s="1" t="s">
        <v>25</v>
      </c>
      <c r="E20" s="1" t="s">
        <v>102</v>
      </c>
      <c r="F20" s="1" t="s">
        <v>36</v>
      </c>
      <c r="G20" s="1" t="s">
        <v>103</v>
      </c>
      <c r="H20" s="1" t="s">
        <v>79</v>
      </c>
      <c r="I20" s="1" t="s">
        <v>100</v>
      </c>
      <c r="J20" s="1" t="s">
        <v>104</v>
      </c>
      <c r="L20" s="8" t="s">
        <v>105</v>
      </c>
      <c r="M20" s="1">
        <v>5</v>
      </c>
      <c r="N20" s="1">
        <v>10</v>
      </c>
      <c r="O20" s="4">
        <f>Table1[[#This Row],[Unit Price with SST 8%]]/1.08</f>
        <v>6944.4444444444443</v>
      </c>
      <c r="P20" s="2">
        <v>7500</v>
      </c>
      <c r="Q20" s="4">
        <f>Table1[[#This Row],[Unit Price without SST]]*Table1[[#This Row],[No of Unit]]</f>
        <v>69444.444444444438</v>
      </c>
      <c r="R20" s="5">
        <f>Table1[[#This Row],[Unit Price with SST 8%]]*Table1[[#This Row],[No of Unit]]</f>
        <v>75000</v>
      </c>
      <c r="S20" s="3">
        <f>Table1[[#This Row],[Total Price with SST 8%]]-Table1[[#This Row],[Total Price without SST]]</f>
        <v>5555.555555555562</v>
      </c>
      <c r="U20" s="5">
        <f>Table1[[#This Row],[Total Price with SST 8%]]-(Table1[[#This Row],[Total Price with SST 8%]]*Table1[[#This Row],[Discount %]]/100)</f>
        <v>75000</v>
      </c>
      <c r="V20" s="5" t="s">
        <v>33</v>
      </c>
      <c r="W20" s="5"/>
      <c r="X20" s="5"/>
      <c r="Y20" s="1" t="s">
        <v>34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t="15" customHeight="1">
      <c r="A21" s="1">
        <v>20</v>
      </c>
      <c r="B21" s="31">
        <v>46034</v>
      </c>
      <c r="C21" s="1" t="s">
        <v>25</v>
      </c>
      <c r="D21" s="1" t="s">
        <v>25</v>
      </c>
      <c r="E21" s="1" t="s">
        <v>106</v>
      </c>
      <c r="F21" s="1" t="s">
        <v>36</v>
      </c>
      <c r="G21" s="1" t="s">
        <v>103</v>
      </c>
      <c r="H21" s="1" t="s">
        <v>79</v>
      </c>
      <c r="I21" s="1" t="s">
        <v>107</v>
      </c>
      <c r="J21" s="1" t="s">
        <v>104</v>
      </c>
      <c r="L21" s="8" t="s">
        <v>105</v>
      </c>
      <c r="M21" s="1">
        <v>2</v>
      </c>
      <c r="N21" s="1">
        <v>40</v>
      </c>
      <c r="O21" s="4">
        <f>Table1[[#This Row],[Unit Price with SST 8%]]/1.08</f>
        <v>740.74074074074065</v>
      </c>
      <c r="P21" s="2">
        <v>800</v>
      </c>
      <c r="Q21" s="4">
        <f>Table1[[#This Row],[Unit Price without SST]]*Table1[[#This Row],[No of Unit]]</f>
        <v>29629.629629629628</v>
      </c>
      <c r="R21" s="5">
        <f>Table1[[#This Row],[Unit Price with SST 8%]]*Table1[[#This Row],[No of Unit]]</f>
        <v>32000</v>
      </c>
      <c r="S21" s="3">
        <f>Table1[[#This Row],[Total Price with SST 8%]]-Table1[[#This Row],[Total Price without SST]]</f>
        <v>2370.3703703703723</v>
      </c>
      <c r="U21" s="5">
        <f>Table1[[#This Row],[Total Price with SST 8%]]-(Table1[[#This Row],[Total Price with SST 8%]]*Table1[[#This Row],[Discount %]]/100)</f>
        <v>32000</v>
      </c>
      <c r="V21" s="5" t="s">
        <v>33</v>
      </c>
      <c r="W21" s="5"/>
      <c r="X21" s="5"/>
      <c r="Y21" s="1" t="s">
        <v>34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t="30" customHeight="1">
      <c r="A22" s="1">
        <v>21</v>
      </c>
      <c r="B22" s="31">
        <v>46034</v>
      </c>
      <c r="C22" s="1" t="s">
        <v>25</v>
      </c>
      <c r="D22" s="1" t="s">
        <v>25</v>
      </c>
      <c r="E22" s="1" t="s">
        <v>108</v>
      </c>
      <c r="F22" s="1" t="s">
        <v>27</v>
      </c>
      <c r="G22" s="1" t="s">
        <v>109</v>
      </c>
      <c r="I22" s="6" t="s">
        <v>110</v>
      </c>
      <c r="J22" s="1" t="s">
        <v>111</v>
      </c>
      <c r="L22" s="8" t="s">
        <v>112</v>
      </c>
      <c r="M22" s="1">
        <v>2</v>
      </c>
      <c r="N22" s="1">
        <v>4</v>
      </c>
      <c r="O22" s="4">
        <f>Table1[[#This Row],[Unit Price with SST 8%]]/1.08</f>
        <v>1388.8888888888887</v>
      </c>
      <c r="P22" s="2">
        <v>1500</v>
      </c>
      <c r="Q22" s="4">
        <f>Table1[[#This Row],[Unit Price without SST]]*Table1[[#This Row],[No of Unit]]</f>
        <v>5555.5555555555547</v>
      </c>
      <c r="R22" s="5">
        <f>Table1[[#This Row],[Unit Price with SST 8%]]*Table1[[#This Row],[No of Unit]]</f>
        <v>6000</v>
      </c>
      <c r="S22" s="3">
        <f>Table1[[#This Row],[Total Price with SST 8%]]-Table1[[#This Row],[Total Price without SST]]</f>
        <v>444.44444444444525</v>
      </c>
      <c r="U22" s="5">
        <f>Table1[[#This Row],[Total Price with SST 8%]]-(Table1[[#This Row],[Total Price with SST 8%]]*Table1[[#This Row],[Discount %]]/100)</f>
        <v>6000</v>
      </c>
      <c r="V22" s="5" t="s">
        <v>33</v>
      </c>
      <c r="W22" s="5"/>
      <c r="X22" s="5"/>
      <c r="Y22" s="1" t="s">
        <v>34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t="30" customHeight="1">
      <c r="A23" s="1">
        <v>22</v>
      </c>
      <c r="B23" s="31">
        <v>46034</v>
      </c>
      <c r="C23" s="1" t="s">
        <v>25</v>
      </c>
      <c r="D23" s="1" t="s">
        <v>25</v>
      </c>
      <c r="E23" s="1" t="s">
        <v>113</v>
      </c>
      <c r="F23" s="1" t="s">
        <v>36</v>
      </c>
      <c r="G23" s="1" t="s">
        <v>114</v>
      </c>
      <c r="H23" s="1" t="s">
        <v>79</v>
      </c>
      <c r="I23" s="6" t="s">
        <v>110</v>
      </c>
      <c r="M23" s="1">
        <v>2</v>
      </c>
      <c r="N23" s="1">
        <v>25</v>
      </c>
      <c r="O23" s="4">
        <f>Table1[[#This Row],[Unit Price with SST 8%]]/1.08</f>
        <v>777.77777777777771</v>
      </c>
      <c r="P23" s="2">
        <v>840</v>
      </c>
      <c r="Q23" s="4">
        <f>Table1[[#This Row],[Unit Price without SST]]*Table1[[#This Row],[No of Unit]]</f>
        <v>19444.444444444442</v>
      </c>
      <c r="R23" s="5">
        <f>Table1[[#This Row],[Unit Price with SST 8%]]*Table1[[#This Row],[No of Unit]]</f>
        <v>21000</v>
      </c>
      <c r="S23" s="3">
        <f>Table1[[#This Row],[Total Price with SST 8%]]-Table1[[#This Row],[Total Price without SST]]</f>
        <v>1555.5555555555584</v>
      </c>
      <c r="U23" s="5">
        <f>Table1[[#This Row],[Total Price with SST 8%]]-(Table1[[#This Row],[Total Price with SST 8%]]*Table1[[#This Row],[Discount %]]/100)</f>
        <v>21000</v>
      </c>
      <c r="V23" s="5" t="s">
        <v>33</v>
      </c>
      <c r="W23" s="5"/>
      <c r="X23" s="5"/>
      <c r="Y23" s="1" t="s">
        <v>34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s="41" customFormat="1" ht="26">
      <c r="A24" s="1">
        <v>23</v>
      </c>
      <c r="B24" s="42">
        <v>46034</v>
      </c>
      <c r="C24" s="41" t="s">
        <v>25</v>
      </c>
      <c r="D24" s="41" t="s">
        <v>25</v>
      </c>
      <c r="E24" s="41" t="s">
        <v>115</v>
      </c>
      <c r="F24" s="41" t="s">
        <v>36</v>
      </c>
      <c r="G24" s="41" t="s">
        <v>116</v>
      </c>
      <c r="H24" s="41" t="s">
        <v>79</v>
      </c>
      <c r="I24" s="43" t="s">
        <v>117</v>
      </c>
      <c r="M24" s="41">
        <v>2</v>
      </c>
      <c r="N24" s="41">
        <v>25</v>
      </c>
      <c r="O24" s="44">
        <f>Table1[[#This Row],[Unit Price with SST 8%]]/1.08</f>
        <v>1296.2962962962963</v>
      </c>
      <c r="P24" s="45">
        <v>1400</v>
      </c>
      <c r="Q24" s="44">
        <f>Table1[[#This Row],[Unit Price without SST]]*Table1[[#This Row],[No of Unit]]</f>
        <v>32407.407407407409</v>
      </c>
      <c r="R24" s="46">
        <f>Table1[[#This Row],[Unit Price with SST 8%]]*Table1[[#This Row],[No of Unit]]</f>
        <v>35000</v>
      </c>
      <c r="S24" s="45">
        <f>Table1[[#This Row],[Total Price with SST 8%]]-Table1[[#This Row],[Total Price without SST]]</f>
        <v>2592.5925925925912</v>
      </c>
      <c r="U24" s="46">
        <f>Table1[[#This Row],[Total Price with SST 8%]]-(Table1[[#This Row],[Total Price with SST 8%]]*Table1[[#This Row],[Discount %]]/100)</f>
        <v>35000</v>
      </c>
      <c r="V24" s="46" t="s">
        <v>33</v>
      </c>
      <c r="W24" s="46"/>
      <c r="X24" s="46"/>
      <c r="Y24" s="41" t="s">
        <v>53</v>
      </c>
    </row>
    <row r="25" spans="1:49" ht="15" customHeight="1">
      <c r="A25" s="1">
        <v>24</v>
      </c>
      <c r="B25" s="31">
        <v>46034</v>
      </c>
      <c r="C25" s="1" t="s">
        <v>25</v>
      </c>
      <c r="D25" s="1" t="s">
        <v>25</v>
      </c>
      <c r="E25" s="1" t="s">
        <v>118</v>
      </c>
      <c r="F25" s="1" t="s">
        <v>27</v>
      </c>
      <c r="G25" s="1" t="s">
        <v>119</v>
      </c>
      <c r="I25" s="1" t="s">
        <v>49</v>
      </c>
      <c r="L25" s="8"/>
      <c r="M25" s="1">
        <v>4</v>
      </c>
      <c r="N25" s="1">
        <v>40</v>
      </c>
      <c r="O25" s="4">
        <f>Table1[[#This Row],[Unit Price with SST 8%]]/1.08</f>
        <v>1481.4814814814813</v>
      </c>
      <c r="P25" s="2">
        <v>1600</v>
      </c>
      <c r="Q25" s="4">
        <f>Table1[[#This Row],[Unit Price without SST]]*Table1[[#This Row],[No of Unit]]</f>
        <v>59259.259259259255</v>
      </c>
      <c r="R25" s="5">
        <f>Table1[[#This Row],[Unit Price with SST 8%]]*Table1[[#This Row],[No of Unit]]</f>
        <v>64000</v>
      </c>
      <c r="S25" s="3">
        <f>Table1[[#This Row],[Total Price with SST 8%]]-Table1[[#This Row],[Total Price without SST]]</f>
        <v>4740.7407407407445</v>
      </c>
      <c r="U25" s="5">
        <f>Table1[[#This Row],[Total Price with SST 8%]]-(Table1[[#This Row],[Total Price with SST 8%]]*Table1[[#This Row],[Discount %]]/100)</f>
        <v>64000</v>
      </c>
      <c r="V25" s="5" t="s">
        <v>33</v>
      </c>
      <c r="W25" s="5"/>
      <c r="X25" s="5"/>
      <c r="Y25" s="1" t="s">
        <v>53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t="15" customHeight="1">
      <c r="A26" s="1">
        <v>25</v>
      </c>
      <c r="B26" s="31">
        <v>46034</v>
      </c>
      <c r="C26" s="1" t="s">
        <v>25</v>
      </c>
      <c r="D26" s="1" t="s">
        <v>25</v>
      </c>
      <c r="E26" s="1" t="s">
        <v>120</v>
      </c>
      <c r="F26" s="1" t="s">
        <v>36</v>
      </c>
      <c r="G26" s="1" t="s">
        <v>121</v>
      </c>
      <c r="H26" s="1" t="s">
        <v>79</v>
      </c>
      <c r="I26" s="1" t="s">
        <v>49</v>
      </c>
      <c r="J26" s="1" t="s">
        <v>122</v>
      </c>
      <c r="L26" s="8" t="s">
        <v>123</v>
      </c>
      <c r="M26" s="1">
        <v>2</v>
      </c>
      <c r="N26" s="1">
        <v>25</v>
      </c>
      <c r="O26" s="4">
        <f>Table1[[#This Row],[Unit Price with SST 8%]]/1.08</f>
        <v>777.77777777777771</v>
      </c>
      <c r="P26" s="2">
        <v>840</v>
      </c>
      <c r="Q26" s="4">
        <f>Table1[[#This Row],[Unit Price without SST]]*Table1[[#This Row],[No of Unit]]</f>
        <v>19444.444444444442</v>
      </c>
      <c r="R26" s="5">
        <f>Table1[[#This Row],[Unit Price with SST 8%]]*Table1[[#This Row],[No of Unit]]</f>
        <v>21000</v>
      </c>
      <c r="S26" s="3">
        <f>Table1[[#This Row],[Total Price with SST 8%]]-Table1[[#This Row],[Total Price without SST]]</f>
        <v>1555.5555555555584</v>
      </c>
      <c r="U26" s="5">
        <f>Table1[[#This Row],[Total Price with SST 8%]]-(Table1[[#This Row],[Total Price with SST 8%]]*Table1[[#This Row],[Discount %]]/100)</f>
        <v>21000</v>
      </c>
      <c r="V26" s="5" t="s">
        <v>33</v>
      </c>
      <c r="W26" s="5"/>
      <c r="X26" s="5"/>
      <c r="Y26" s="1" t="s">
        <v>53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t="15" customHeight="1">
      <c r="A27" s="1">
        <v>26</v>
      </c>
      <c r="B27" s="31">
        <v>46034</v>
      </c>
      <c r="C27" s="1" t="s">
        <v>25</v>
      </c>
      <c r="D27" s="1" t="s">
        <v>25</v>
      </c>
      <c r="E27" s="1" t="s">
        <v>124</v>
      </c>
      <c r="F27" s="1" t="s">
        <v>36</v>
      </c>
      <c r="G27" s="1" t="s">
        <v>125</v>
      </c>
      <c r="H27" s="1" t="s">
        <v>79</v>
      </c>
      <c r="I27" s="1" t="s">
        <v>126</v>
      </c>
      <c r="J27" s="1" t="s">
        <v>75</v>
      </c>
      <c r="L27" s="8" t="s">
        <v>76</v>
      </c>
      <c r="M27" s="1">
        <v>2</v>
      </c>
      <c r="N27" s="1">
        <v>1</v>
      </c>
      <c r="O27" s="4">
        <f>Table1[[#This Row],[Unit Price with SST 8%]]/1.08</f>
        <v>4629.6296296296296</v>
      </c>
      <c r="P27" s="2">
        <v>5000</v>
      </c>
      <c r="Q27" s="4">
        <f>Table1[[#This Row],[Unit Price without SST]]*Table1[[#This Row],[No of Unit]]</f>
        <v>4629.6296296296296</v>
      </c>
      <c r="R27" s="5">
        <f>Table1[[#This Row],[Unit Price with SST 8%]]*Table1[[#This Row],[No of Unit]]</f>
        <v>5000</v>
      </c>
      <c r="S27" s="3">
        <f>Table1[[#This Row],[Total Price with SST 8%]]-Table1[[#This Row],[Total Price without SST]]</f>
        <v>370.37037037037044</v>
      </c>
      <c r="U27" s="5">
        <f>Table1[[#This Row],[Total Price with SST 8%]]-(Table1[[#This Row],[Total Price with SST 8%]]*Table1[[#This Row],[Discount %]]/100)</f>
        <v>5000</v>
      </c>
      <c r="V27" s="5" t="s">
        <v>33</v>
      </c>
      <c r="W27" s="5"/>
      <c r="X27" s="5"/>
      <c r="Y27" s="1" t="s">
        <v>53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t="15" customHeight="1">
      <c r="A28" s="1">
        <v>27</v>
      </c>
      <c r="B28" s="31">
        <v>46034</v>
      </c>
      <c r="C28" s="1" t="s">
        <v>25</v>
      </c>
      <c r="D28" s="1" t="s">
        <v>25</v>
      </c>
      <c r="E28" s="1" t="s">
        <v>127</v>
      </c>
      <c r="F28" s="1" t="s">
        <v>36</v>
      </c>
      <c r="G28" s="1" t="s">
        <v>99</v>
      </c>
      <c r="H28" s="1" t="s">
        <v>128</v>
      </c>
      <c r="I28" s="1" t="s">
        <v>100</v>
      </c>
      <c r="J28" s="1" t="s">
        <v>101</v>
      </c>
      <c r="M28" s="1">
        <v>5</v>
      </c>
      <c r="N28" s="1">
        <v>2</v>
      </c>
      <c r="O28" s="4">
        <f>Table1[[#This Row],[Unit Price with SST 8%]]/1.08</f>
        <v>4629.6296296296296</v>
      </c>
      <c r="P28" s="2">
        <v>5000</v>
      </c>
      <c r="Q28" s="4">
        <f>Table1[[#This Row],[Unit Price without SST]]*Table1[[#This Row],[No of Unit]]</f>
        <v>9259.2592592592591</v>
      </c>
      <c r="R28" s="5">
        <f>Table1[[#This Row],[Unit Price with SST 8%]]*Table1[[#This Row],[No of Unit]]</f>
        <v>10000</v>
      </c>
      <c r="S28" s="3">
        <f>Table1[[#This Row],[Total Price with SST 8%]]-Table1[[#This Row],[Total Price without SST]]</f>
        <v>740.74074074074088</v>
      </c>
      <c r="U28" s="5">
        <f>Table1[[#This Row],[Total Price with SST 8%]]-(Table1[[#This Row],[Total Price with SST 8%]]*Table1[[#This Row],[Discount %]]/100)</f>
        <v>10000</v>
      </c>
      <c r="V28" s="5" t="s">
        <v>33</v>
      </c>
      <c r="W28" s="5"/>
      <c r="X28" s="5"/>
      <c r="Y28" s="1" t="s">
        <v>34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ht="15" customHeight="1">
      <c r="A29" s="1">
        <v>28</v>
      </c>
      <c r="B29" s="31">
        <v>46033</v>
      </c>
      <c r="C29" s="1" t="s">
        <v>25</v>
      </c>
      <c r="D29" s="1" t="s">
        <v>25</v>
      </c>
      <c r="E29" s="1" t="s">
        <v>129</v>
      </c>
      <c r="F29" s="1" t="s">
        <v>36</v>
      </c>
      <c r="G29" s="1" t="s">
        <v>130</v>
      </c>
      <c r="H29" s="1" t="s">
        <v>79</v>
      </c>
      <c r="I29" s="1" t="s">
        <v>131</v>
      </c>
      <c r="J29" s="1" t="s">
        <v>132</v>
      </c>
      <c r="L29" s="8" t="s">
        <v>133</v>
      </c>
      <c r="M29" s="1">
        <v>2</v>
      </c>
      <c r="N29" s="1">
        <v>8</v>
      </c>
      <c r="O29" s="4">
        <f>Table1[[#This Row],[Unit Price with SST 8%]]/1.08</f>
        <v>1851.8518518518517</v>
      </c>
      <c r="P29" s="2">
        <v>2000</v>
      </c>
      <c r="Q29" s="4">
        <f>Table1[[#This Row],[Unit Price without SST]]*Table1[[#This Row],[No of Unit]]</f>
        <v>14814.814814814814</v>
      </c>
      <c r="R29" s="5">
        <f>Table1[[#This Row],[Unit Price with SST 8%]]*Table1[[#This Row],[No of Unit]]</f>
        <v>16000</v>
      </c>
      <c r="S29" s="3">
        <f>Table1[[#This Row],[Total Price with SST 8%]]-Table1[[#This Row],[Total Price without SST]]</f>
        <v>1185.1851851851861</v>
      </c>
      <c r="U29" s="5">
        <f>Table1[[#This Row],[Total Price with SST 8%]]-(Table1[[#This Row],[Total Price with SST 8%]]*Table1[[#This Row],[Discount %]]/100)</f>
        <v>16000</v>
      </c>
      <c r="V29" s="5" t="s">
        <v>33</v>
      </c>
      <c r="W29" s="5"/>
      <c r="X29" s="5"/>
      <c r="Y29" s="1" t="s">
        <v>134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t="15" customHeight="1">
      <c r="A30" s="1">
        <v>29</v>
      </c>
      <c r="B30" s="31">
        <v>46035</v>
      </c>
      <c r="C30" s="1" t="s">
        <v>25</v>
      </c>
      <c r="D30" s="1" t="s">
        <v>25</v>
      </c>
      <c r="E30" s="1" t="s">
        <v>135</v>
      </c>
      <c r="F30" s="1" t="s">
        <v>36</v>
      </c>
      <c r="G30" s="1" t="s">
        <v>136</v>
      </c>
      <c r="I30" s="1" t="s">
        <v>137</v>
      </c>
      <c r="J30" s="1" t="s">
        <v>138</v>
      </c>
      <c r="M30" s="1">
        <v>1</v>
      </c>
      <c r="N30" s="1">
        <v>1</v>
      </c>
      <c r="O30" s="4">
        <f>Table1[[#This Row],[Unit Price with SST 8%]]/1.08</f>
        <v>205370.37037037036</v>
      </c>
      <c r="P30" s="2">
        <v>221800</v>
      </c>
      <c r="Q30" s="4">
        <f>Table1[[#This Row],[Unit Price without SST]]*Table1[[#This Row],[No of Unit]]</f>
        <v>205370.37037037036</v>
      </c>
      <c r="R30" s="5">
        <f>Table1[[#This Row],[Unit Price with SST 8%]]*Table1[[#This Row],[No of Unit]]</f>
        <v>221800</v>
      </c>
      <c r="S30" s="3">
        <f>Table1[[#This Row],[Total Price with SST 8%]]-Table1[[#This Row],[Total Price without SST]]</f>
        <v>16429.629629629635</v>
      </c>
      <c r="U30" s="5">
        <f>Table1[[#This Row],[Total Price with SST 8%]]-(Table1[[#This Row],[Total Price with SST 8%]]*Table1[[#This Row],[Discount %]]/100)</f>
        <v>221800</v>
      </c>
      <c r="V30" s="5"/>
      <c r="W30" s="5"/>
      <c r="X30" s="5"/>
      <c r="Y30" s="1" t="s">
        <v>53</v>
      </c>
      <c r="Z30" s="9" t="s">
        <v>139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t="15" customHeight="1">
      <c r="A31" s="1">
        <v>30</v>
      </c>
      <c r="B31" s="34">
        <v>46036</v>
      </c>
      <c r="C31" s="15" t="s">
        <v>25</v>
      </c>
      <c r="D31" s="15" t="s">
        <v>25</v>
      </c>
      <c r="E31" s="15" t="s">
        <v>140</v>
      </c>
      <c r="F31" s="15" t="s">
        <v>36</v>
      </c>
      <c r="G31" s="15" t="s">
        <v>141</v>
      </c>
      <c r="H31" s="15" t="s">
        <v>79</v>
      </c>
      <c r="I31" s="15" t="s">
        <v>49</v>
      </c>
      <c r="J31" s="15" t="s">
        <v>142</v>
      </c>
      <c r="K31" s="15"/>
      <c r="L31" s="15"/>
      <c r="M31" s="15">
        <v>4</v>
      </c>
      <c r="N31" s="15">
        <v>50</v>
      </c>
      <c r="O31" s="16">
        <f>Table1[[#This Row],[Unit Price with SST 8%]]/1.08</f>
        <v>833.33333333333326</v>
      </c>
      <c r="P31" s="17">
        <v>900</v>
      </c>
      <c r="Q31" s="16">
        <f>Table1[[#This Row],[Unit Price without SST]]*Table1[[#This Row],[No of Unit]]</f>
        <v>41666.666666666664</v>
      </c>
      <c r="R31" s="18">
        <f>Table1[[#This Row],[Unit Price with SST 8%]]*Table1[[#This Row],[No of Unit]]</f>
        <v>45000</v>
      </c>
      <c r="S31" s="19">
        <f>Table1[[#This Row],[Total Price with SST 8%]]-Table1[[#This Row],[Total Price without SST]]</f>
        <v>3333.3333333333358</v>
      </c>
      <c r="T31" s="15"/>
      <c r="U31" s="18">
        <f>Table1[[#This Row],[Total Price with SST 8%]]-(Table1[[#This Row],[Total Price with SST 8%]]*Table1[[#This Row],[Discount %]]/100)</f>
        <v>45000</v>
      </c>
      <c r="V31" s="18"/>
      <c r="W31" s="18"/>
      <c r="X31" s="18"/>
      <c r="Y31" s="20" t="s">
        <v>53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t="15" customHeight="1">
      <c r="A32" s="1">
        <v>31</v>
      </c>
      <c r="B32" s="34">
        <v>46036</v>
      </c>
      <c r="C32" s="15" t="s">
        <v>25</v>
      </c>
      <c r="D32" s="15" t="s">
        <v>25</v>
      </c>
      <c r="E32" s="15" t="s">
        <v>143</v>
      </c>
      <c r="F32" s="15" t="s">
        <v>36</v>
      </c>
      <c r="G32" s="15" t="s">
        <v>141</v>
      </c>
      <c r="H32" s="15" t="s">
        <v>79</v>
      </c>
      <c r="I32" s="15" t="s">
        <v>29</v>
      </c>
      <c r="J32" s="15" t="s">
        <v>142</v>
      </c>
      <c r="K32" s="15"/>
      <c r="L32" s="15"/>
      <c r="M32" s="15">
        <v>5</v>
      </c>
      <c r="N32" s="15">
        <v>10</v>
      </c>
      <c r="O32" s="16">
        <f>Table1[[#This Row],[Unit Price with SST 8%]]/1.08</f>
        <v>6944.4444444444443</v>
      </c>
      <c r="P32" s="17">
        <v>7500</v>
      </c>
      <c r="Q32" s="16">
        <f>Table1[[#This Row],[Unit Price without SST]]*Table1[[#This Row],[No of Unit]]</f>
        <v>69444.444444444438</v>
      </c>
      <c r="R32" s="18">
        <f>Table1[[#This Row],[Unit Price with SST 8%]]*Table1[[#This Row],[No of Unit]]</f>
        <v>75000</v>
      </c>
      <c r="S32" s="19">
        <f>Table1[[#This Row],[Total Price with SST 8%]]-Table1[[#This Row],[Total Price without SST]]</f>
        <v>5555.555555555562</v>
      </c>
      <c r="T32" s="15"/>
      <c r="U32" s="18">
        <f>Table1[[#This Row],[Total Price with SST 8%]]-(Table1[[#This Row],[Total Price with SST 8%]]*Table1[[#This Row],[Discount %]]/100)</f>
        <v>75000</v>
      </c>
      <c r="V32" s="18"/>
      <c r="W32" s="18"/>
      <c r="X32" s="18"/>
      <c r="Y32" s="20" t="s">
        <v>53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ht="15" customHeight="1">
      <c r="A33" s="1">
        <v>32</v>
      </c>
      <c r="B33" s="34">
        <v>46036</v>
      </c>
      <c r="C33" s="15" t="s">
        <v>25</v>
      </c>
      <c r="D33" s="15" t="s">
        <v>25</v>
      </c>
      <c r="E33" s="15" t="s">
        <v>144</v>
      </c>
      <c r="F33" s="15" t="s">
        <v>36</v>
      </c>
      <c r="G33" s="15" t="s">
        <v>141</v>
      </c>
      <c r="H33" s="15" t="s">
        <v>79</v>
      </c>
      <c r="I33" s="15" t="s">
        <v>49</v>
      </c>
      <c r="J33" s="15" t="s">
        <v>142</v>
      </c>
      <c r="K33" s="15"/>
      <c r="L33" s="15"/>
      <c r="M33" s="15">
        <v>4</v>
      </c>
      <c r="N33" s="15">
        <v>50</v>
      </c>
      <c r="O33" s="16">
        <f>Table1[[#This Row],[Unit Price with SST 8%]]/1.08</f>
        <v>555.55555555555554</v>
      </c>
      <c r="P33" s="17">
        <v>600</v>
      </c>
      <c r="Q33" s="16">
        <f>Table1[[#This Row],[Unit Price without SST]]*Table1[[#This Row],[No of Unit]]</f>
        <v>27777.777777777777</v>
      </c>
      <c r="R33" s="18">
        <f>Table1[[#This Row],[Unit Price with SST 8%]]*Table1[[#This Row],[No of Unit]]</f>
        <v>30000</v>
      </c>
      <c r="S33" s="19">
        <f>Table1[[#This Row],[Total Price with SST 8%]]-Table1[[#This Row],[Total Price without SST]]</f>
        <v>2222.2222222222226</v>
      </c>
      <c r="T33" s="15"/>
      <c r="U33" s="18">
        <f>Table1[[#This Row],[Total Price with SST 8%]]-(Table1[[#This Row],[Total Price with SST 8%]]*Table1[[#This Row],[Discount %]]/100)</f>
        <v>30000</v>
      </c>
      <c r="V33" s="18"/>
      <c r="W33" s="18"/>
      <c r="X33" s="18"/>
      <c r="Y33" s="20" t="s">
        <v>53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t="15" customHeight="1">
      <c r="A34" s="1">
        <v>33</v>
      </c>
      <c r="B34" s="34">
        <v>46036</v>
      </c>
      <c r="C34" s="15" t="s">
        <v>25</v>
      </c>
      <c r="D34" s="15" t="s">
        <v>25</v>
      </c>
      <c r="E34" s="15" t="s">
        <v>145</v>
      </c>
      <c r="F34" s="15" t="s">
        <v>27</v>
      </c>
      <c r="G34" s="15" t="s">
        <v>146</v>
      </c>
      <c r="H34" s="15" t="s">
        <v>79</v>
      </c>
      <c r="I34" s="15" t="s">
        <v>49</v>
      </c>
      <c r="J34" s="15" t="s">
        <v>147</v>
      </c>
      <c r="K34" s="15"/>
      <c r="L34" s="15"/>
      <c r="M34" s="15">
        <v>2</v>
      </c>
      <c r="N34" s="15">
        <v>2</v>
      </c>
      <c r="O34" s="16">
        <f>Table1[[#This Row],[Unit Price with SST 8%]]/1.08</f>
        <v>1842.5925925925924</v>
      </c>
      <c r="P34" s="17">
        <v>1990</v>
      </c>
      <c r="Q34" s="16">
        <f>Table1[[#This Row],[Unit Price without SST]]*Table1[[#This Row],[No of Unit]]</f>
        <v>3685.1851851851848</v>
      </c>
      <c r="R34" s="18">
        <f>Table1[[#This Row],[Unit Price with SST 8%]]*Table1[[#This Row],[No of Unit]]</f>
        <v>3980</v>
      </c>
      <c r="S34" s="19">
        <f>Table1[[#This Row],[Total Price with SST 8%]]-Table1[[#This Row],[Total Price without SST]]</f>
        <v>294.81481481481524</v>
      </c>
      <c r="T34" s="15"/>
      <c r="U34" s="18">
        <f>Table1[[#This Row],[Total Price with SST 8%]]-(Table1[[#This Row],[Total Price with SST 8%]]*Table1[[#This Row],[Discount %]]/100)</f>
        <v>3980</v>
      </c>
      <c r="V34" s="18"/>
      <c r="W34" s="18"/>
      <c r="X34" s="18"/>
      <c r="Y34" s="20" t="s">
        <v>53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ht="15" customHeight="1">
      <c r="A35" s="1">
        <v>34</v>
      </c>
      <c r="B35" s="34">
        <v>46036</v>
      </c>
      <c r="C35" s="15" t="s">
        <v>25</v>
      </c>
      <c r="D35" s="15" t="s">
        <v>25</v>
      </c>
      <c r="E35" s="15" t="s">
        <v>148</v>
      </c>
      <c r="F35" s="15" t="s">
        <v>36</v>
      </c>
      <c r="G35" s="15" t="s">
        <v>149</v>
      </c>
      <c r="H35" s="15" t="s">
        <v>79</v>
      </c>
      <c r="I35" s="15" t="s">
        <v>49</v>
      </c>
      <c r="J35" s="15" t="s">
        <v>150</v>
      </c>
      <c r="K35" s="15"/>
      <c r="L35" s="15"/>
      <c r="M35" s="15">
        <v>4</v>
      </c>
      <c r="N35" s="15">
        <v>50</v>
      </c>
      <c r="O35" s="16">
        <f>Table1[[#This Row],[Unit Price with SST 8%]]/1.08</f>
        <v>833.33333333333326</v>
      </c>
      <c r="P35" s="17">
        <v>900</v>
      </c>
      <c r="Q35" s="16">
        <f>Table1[[#This Row],[Unit Price without SST]]*Table1[[#This Row],[No of Unit]]</f>
        <v>41666.666666666664</v>
      </c>
      <c r="R35" s="18">
        <f>Table1[[#This Row],[Unit Price with SST 8%]]*Table1[[#This Row],[No of Unit]]</f>
        <v>45000</v>
      </c>
      <c r="S35" s="19">
        <f>Table1[[#This Row],[Total Price with SST 8%]]-Table1[[#This Row],[Total Price without SST]]</f>
        <v>3333.3333333333358</v>
      </c>
      <c r="T35" s="15"/>
      <c r="U35" s="18">
        <f>Table1[[#This Row],[Total Price with SST 8%]]-(Table1[[#This Row],[Total Price with SST 8%]]*Table1[[#This Row],[Discount %]]/100)</f>
        <v>45000</v>
      </c>
      <c r="V35" s="18"/>
      <c r="W35" s="18"/>
      <c r="X35" s="18"/>
      <c r="Y35" s="20" t="s">
        <v>34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t="15" customHeight="1">
      <c r="A36" s="1">
        <v>35</v>
      </c>
      <c r="B36" s="34">
        <v>46036</v>
      </c>
      <c r="C36" s="15" t="s">
        <v>25</v>
      </c>
      <c r="D36" s="15" t="s">
        <v>25</v>
      </c>
      <c r="E36" s="15" t="s">
        <v>151</v>
      </c>
      <c r="F36" s="15" t="s">
        <v>36</v>
      </c>
      <c r="G36" s="15" t="s">
        <v>149</v>
      </c>
      <c r="H36" s="15" t="s">
        <v>79</v>
      </c>
      <c r="I36" s="15" t="s">
        <v>49</v>
      </c>
      <c r="J36" s="15" t="s">
        <v>150</v>
      </c>
      <c r="K36" s="15"/>
      <c r="L36" s="15"/>
      <c r="M36" s="15">
        <v>4</v>
      </c>
      <c r="N36" s="15">
        <v>50</v>
      </c>
      <c r="O36" s="16">
        <f>Table1[[#This Row],[Unit Price with SST 8%]]/1.08</f>
        <v>555.55555555555554</v>
      </c>
      <c r="P36" s="17">
        <v>600</v>
      </c>
      <c r="Q36" s="16">
        <f>Table1[[#This Row],[Unit Price without SST]]*Table1[[#This Row],[No of Unit]]</f>
        <v>27777.777777777777</v>
      </c>
      <c r="R36" s="18">
        <f>Table1[[#This Row],[Unit Price with SST 8%]]*Table1[[#This Row],[No of Unit]]</f>
        <v>30000</v>
      </c>
      <c r="S36" s="19">
        <f>Table1[[#This Row],[Total Price with SST 8%]]-Table1[[#This Row],[Total Price without SST]]</f>
        <v>2222.2222222222226</v>
      </c>
      <c r="T36" s="15"/>
      <c r="U36" s="18">
        <f>Table1[[#This Row],[Total Price with SST 8%]]-(Table1[[#This Row],[Total Price with SST 8%]]*Table1[[#This Row],[Discount %]]/100)</f>
        <v>30000</v>
      </c>
      <c r="V36" s="18"/>
      <c r="W36" s="18"/>
      <c r="X36" s="18"/>
      <c r="Y36" s="20" t="s">
        <v>34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ht="15" customHeight="1">
      <c r="A37" s="1">
        <v>36</v>
      </c>
      <c r="B37" s="34">
        <v>46036</v>
      </c>
      <c r="C37" s="15" t="s">
        <v>25</v>
      </c>
      <c r="D37" s="15" t="s">
        <v>25</v>
      </c>
      <c r="E37" s="15" t="s">
        <v>152</v>
      </c>
      <c r="F37" s="15" t="s">
        <v>36</v>
      </c>
      <c r="G37" s="15" t="s">
        <v>149</v>
      </c>
      <c r="H37" s="15" t="s">
        <v>79</v>
      </c>
      <c r="I37" s="15" t="s">
        <v>153</v>
      </c>
      <c r="J37" s="15" t="s">
        <v>150</v>
      </c>
      <c r="K37" s="15"/>
      <c r="L37" s="15"/>
      <c r="M37" s="15">
        <v>5</v>
      </c>
      <c r="N37" s="15">
        <v>10</v>
      </c>
      <c r="O37" s="16">
        <f>Table1[[#This Row],[Unit Price with SST 8%]]/1.08</f>
        <v>6944.4444444444443</v>
      </c>
      <c r="P37" s="17">
        <v>7500</v>
      </c>
      <c r="Q37" s="16">
        <f>Table1[[#This Row],[Unit Price without SST]]*Table1[[#This Row],[No of Unit]]</f>
        <v>69444.444444444438</v>
      </c>
      <c r="R37" s="18">
        <f>Table1[[#This Row],[Unit Price with SST 8%]]*Table1[[#This Row],[No of Unit]]</f>
        <v>75000</v>
      </c>
      <c r="S37" s="19">
        <f>Table1[[#This Row],[Total Price with SST 8%]]-Table1[[#This Row],[Total Price without SST]]</f>
        <v>5555.555555555562</v>
      </c>
      <c r="T37" s="15"/>
      <c r="U37" s="18">
        <f>Table1[[#This Row],[Total Price with SST 8%]]-(Table1[[#This Row],[Total Price with SST 8%]]*Table1[[#This Row],[Discount %]]/100)</f>
        <v>75000</v>
      </c>
      <c r="V37" s="18"/>
      <c r="W37" s="18"/>
      <c r="X37" s="18"/>
      <c r="Y37" s="20" t="s">
        <v>34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t="15" customHeight="1">
      <c r="A38" s="1">
        <v>37</v>
      </c>
      <c r="B38" s="34">
        <v>46036</v>
      </c>
      <c r="C38" s="15" t="s">
        <v>25</v>
      </c>
      <c r="D38" s="15" t="s">
        <v>154</v>
      </c>
      <c r="E38" s="15" t="s">
        <v>155</v>
      </c>
      <c r="F38" s="15" t="s">
        <v>36</v>
      </c>
      <c r="G38" s="15" t="s">
        <v>156</v>
      </c>
      <c r="H38" s="15" t="s">
        <v>79</v>
      </c>
      <c r="I38" s="15" t="s">
        <v>154</v>
      </c>
      <c r="J38" s="15"/>
      <c r="K38" s="15"/>
      <c r="L38" s="15"/>
      <c r="M38" s="15">
        <v>1</v>
      </c>
      <c r="N38" s="15">
        <v>1</v>
      </c>
      <c r="O38" s="16">
        <f>Table1[[#This Row],[Unit Price with SST 8%]]/1.08</f>
        <v>64814.81481481481</v>
      </c>
      <c r="P38" s="17">
        <v>70000</v>
      </c>
      <c r="Q38" s="16">
        <f>Table1[[#This Row],[Unit Price without SST]]*Table1[[#This Row],[No of Unit]]</f>
        <v>64814.81481481481</v>
      </c>
      <c r="R38" s="18">
        <f>Table1[[#This Row],[Unit Price with SST 8%]]*Table1[[#This Row],[No of Unit]]</f>
        <v>70000</v>
      </c>
      <c r="S38" s="19">
        <f>Table1[[#This Row],[Total Price with SST 8%]]-Table1[[#This Row],[Total Price without SST]]</f>
        <v>5185.1851851851898</v>
      </c>
      <c r="T38" s="15"/>
      <c r="U38" s="18">
        <f>Table1[[#This Row],[Total Price with SST 8%]]-(Table1[[#This Row],[Total Price with SST 8%]]*Table1[[#This Row],[Discount %]]/100)</f>
        <v>70000</v>
      </c>
      <c r="V38" s="18"/>
      <c r="W38" s="18"/>
      <c r="X38" s="18"/>
      <c r="Y38" s="20" t="s">
        <v>34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ht="15" customHeight="1">
      <c r="A39" s="1">
        <v>38</v>
      </c>
      <c r="B39" s="31">
        <v>46037</v>
      </c>
      <c r="C39" s="15" t="s">
        <v>25</v>
      </c>
      <c r="D39" s="1" t="s">
        <v>25</v>
      </c>
      <c r="E39" s="15" t="s">
        <v>157</v>
      </c>
      <c r="F39" s="1" t="s">
        <v>36</v>
      </c>
      <c r="G39" s="15" t="s">
        <v>141</v>
      </c>
      <c r="H39" s="15" t="s">
        <v>79</v>
      </c>
      <c r="I39" s="15" t="s">
        <v>49</v>
      </c>
      <c r="J39" s="15" t="s">
        <v>142</v>
      </c>
      <c r="M39" s="1">
        <v>4</v>
      </c>
      <c r="N39" s="1">
        <v>50</v>
      </c>
      <c r="O39" s="4">
        <f>Table1[[#This Row],[Unit Price with SST 8%]]/1.08</f>
        <v>1666.6666666666665</v>
      </c>
      <c r="P39" s="2">
        <v>1800</v>
      </c>
      <c r="Q39" s="4">
        <f>Table1[[#This Row],[Unit Price without SST]]*Table1[[#This Row],[No of Unit]]</f>
        <v>83333.333333333328</v>
      </c>
      <c r="R39" s="5">
        <f>Table1[[#This Row],[Unit Price with SST 8%]]*Table1[[#This Row],[No of Unit]]</f>
        <v>90000</v>
      </c>
      <c r="S39" s="3">
        <f>Table1[[#This Row],[Total Price with SST 8%]]-Table1[[#This Row],[Total Price without SST]]</f>
        <v>6666.6666666666715</v>
      </c>
      <c r="U39" s="5">
        <f>Table1[[#This Row],[Total Price with SST 8%]]-(Table1[[#This Row],[Total Price with SST 8%]]*Table1[[#This Row],[Discount %]]/100)</f>
        <v>90000</v>
      </c>
      <c r="V39" s="5"/>
      <c r="W39" s="5"/>
      <c r="X39" s="5"/>
      <c r="Y39" s="20" t="s">
        <v>34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t="15" customHeight="1">
      <c r="A40" s="1">
        <v>39</v>
      </c>
      <c r="B40" s="31">
        <v>46037</v>
      </c>
      <c r="C40" s="15" t="s">
        <v>25</v>
      </c>
      <c r="D40" s="1" t="s">
        <v>25</v>
      </c>
      <c r="E40" s="15" t="s">
        <v>158</v>
      </c>
      <c r="F40" s="1" t="s">
        <v>36</v>
      </c>
      <c r="G40" s="15" t="s">
        <v>141</v>
      </c>
      <c r="H40" s="15" t="s">
        <v>79</v>
      </c>
      <c r="I40" s="15" t="s">
        <v>49</v>
      </c>
      <c r="J40" s="15" t="s">
        <v>142</v>
      </c>
      <c r="M40" s="1">
        <v>4</v>
      </c>
      <c r="N40" s="1">
        <v>50</v>
      </c>
      <c r="O40" s="4">
        <f>Table1[[#This Row],[Unit Price with SST 8%]]/1.08</f>
        <v>1111.1111111111111</v>
      </c>
      <c r="P40" s="2">
        <v>1200</v>
      </c>
      <c r="Q40" s="4">
        <f>Table1[[#This Row],[Unit Price without SST]]*Table1[[#This Row],[No of Unit]]</f>
        <v>55555.555555555555</v>
      </c>
      <c r="R40" s="5">
        <f>Table1[[#This Row],[Unit Price with SST 8%]]*Table1[[#This Row],[No of Unit]]</f>
        <v>60000</v>
      </c>
      <c r="S40" s="3">
        <f>Table1[[#This Row],[Total Price with SST 8%]]-Table1[[#This Row],[Total Price without SST]]</f>
        <v>4444.4444444444453</v>
      </c>
      <c r="U40" s="5">
        <f>Table1[[#This Row],[Total Price with SST 8%]]-(Table1[[#This Row],[Total Price with SST 8%]]*Table1[[#This Row],[Discount %]]/100)</f>
        <v>60000</v>
      </c>
      <c r="V40" s="5"/>
      <c r="W40" s="5"/>
      <c r="X40" s="5"/>
      <c r="Y40" s="20" t="s">
        <v>34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ht="15" customHeight="1">
      <c r="A41" s="1">
        <v>40</v>
      </c>
      <c r="B41" s="31">
        <v>46037</v>
      </c>
      <c r="C41" s="15" t="s">
        <v>25</v>
      </c>
      <c r="D41" s="1" t="s">
        <v>25</v>
      </c>
      <c r="E41" s="15" t="s">
        <v>159</v>
      </c>
      <c r="F41" s="1" t="s">
        <v>36</v>
      </c>
      <c r="G41" s="15" t="s">
        <v>149</v>
      </c>
      <c r="H41" s="15" t="s">
        <v>79</v>
      </c>
      <c r="I41" s="15" t="s">
        <v>49</v>
      </c>
      <c r="J41" s="15" t="s">
        <v>150</v>
      </c>
      <c r="M41" s="1">
        <v>4</v>
      </c>
      <c r="N41" s="1">
        <v>50</v>
      </c>
      <c r="O41" s="4">
        <f>Table1[[#This Row],[Unit Price with SST 8%]]/1.08</f>
        <v>1666.6666666666665</v>
      </c>
      <c r="P41" s="2">
        <v>1800</v>
      </c>
      <c r="Q41" s="4">
        <f>Table1[[#This Row],[Unit Price without SST]]*Table1[[#This Row],[No of Unit]]</f>
        <v>83333.333333333328</v>
      </c>
      <c r="R41" s="5">
        <f>Table1[[#This Row],[Unit Price with SST 8%]]*Table1[[#This Row],[No of Unit]]</f>
        <v>90000</v>
      </c>
      <c r="S41" s="3">
        <f>Table1[[#This Row],[Total Price with SST 8%]]-Table1[[#This Row],[Total Price without SST]]</f>
        <v>6666.6666666666715</v>
      </c>
      <c r="U41" s="5">
        <f>Table1[[#This Row],[Total Price with SST 8%]]-(Table1[[#This Row],[Total Price with SST 8%]]*Table1[[#This Row],[Discount %]]/100)</f>
        <v>90000</v>
      </c>
      <c r="V41" s="5"/>
      <c r="W41" s="5"/>
      <c r="X41" s="5"/>
      <c r="Y41" s="20" t="s">
        <v>34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t="15" customHeight="1">
      <c r="A42" s="1">
        <v>41</v>
      </c>
      <c r="B42" s="31">
        <v>46037</v>
      </c>
      <c r="C42" s="15" t="s">
        <v>25</v>
      </c>
      <c r="D42" s="1" t="s">
        <v>25</v>
      </c>
      <c r="E42" s="15" t="s">
        <v>160</v>
      </c>
      <c r="F42" s="1" t="s">
        <v>36</v>
      </c>
      <c r="G42" s="15" t="s">
        <v>149</v>
      </c>
      <c r="H42" s="15" t="s">
        <v>79</v>
      </c>
      <c r="I42" s="15" t="s">
        <v>49</v>
      </c>
      <c r="J42" s="15" t="s">
        <v>150</v>
      </c>
      <c r="M42" s="1">
        <v>4</v>
      </c>
      <c r="N42" s="1">
        <v>50</v>
      </c>
      <c r="O42" s="4">
        <f>Table1[[#This Row],[Unit Price with SST 8%]]/1.08</f>
        <v>1111.1111111111111</v>
      </c>
      <c r="P42" s="2">
        <v>1200</v>
      </c>
      <c r="Q42" s="4">
        <f>Table1[[#This Row],[Unit Price without SST]]*Table1[[#This Row],[No of Unit]]</f>
        <v>55555.555555555555</v>
      </c>
      <c r="R42" s="5">
        <f>Table1[[#This Row],[Unit Price with SST 8%]]*Table1[[#This Row],[No of Unit]]</f>
        <v>60000</v>
      </c>
      <c r="S42" s="3">
        <f>Table1[[#This Row],[Total Price with SST 8%]]-Table1[[#This Row],[Total Price without SST]]</f>
        <v>4444.4444444444453</v>
      </c>
      <c r="U42" s="5">
        <f>Table1[[#This Row],[Total Price with SST 8%]]-(Table1[[#This Row],[Total Price with SST 8%]]*Table1[[#This Row],[Discount %]]/100)</f>
        <v>60000</v>
      </c>
      <c r="V42" s="5"/>
      <c r="W42" s="5"/>
      <c r="X42" s="5"/>
      <c r="Y42" s="20" t="s">
        <v>34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t="15" customHeight="1">
      <c r="A43" s="1">
        <v>42</v>
      </c>
      <c r="B43" s="31">
        <v>46037</v>
      </c>
      <c r="C43" s="15" t="s">
        <v>25</v>
      </c>
      <c r="D43" s="1" t="s">
        <v>154</v>
      </c>
      <c r="E43" s="15" t="s">
        <v>161</v>
      </c>
      <c r="F43" s="1" t="s">
        <v>36</v>
      </c>
      <c r="G43" s="15" t="s">
        <v>156</v>
      </c>
      <c r="H43" s="15" t="s">
        <v>79</v>
      </c>
      <c r="I43" s="15" t="s">
        <v>154</v>
      </c>
      <c r="M43" s="1">
        <v>1</v>
      </c>
      <c r="N43" s="1">
        <v>1</v>
      </c>
      <c r="O43" s="4">
        <f>Table1[[#This Row],[Unit Price with SST 8%]]/1.08</f>
        <v>70000</v>
      </c>
      <c r="P43" s="2">
        <v>75600</v>
      </c>
      <c r="Q43" s="4">
        <f>Table1[[#This Row],[Unit Price without SST]]*Table1[[#This Row],[No of Unit]]</f>
        <v>70000</v>
      </c>
      <c r="R43" s="5">
        <v>75600</v>
      </c>
      <c r="S43" s="3">
        <v>5600</v>
      </c>
      <c r="U43" s="5">
        <f>Table1[[#This Row],[Total Price with SST 8%]]-(Table1[[#This Row],[Total Price with SST 8%]]*Table1[[#This Row],[Discount %]]/100)</f>
        <v>75600</v>
      </c>
      <c r="V43" s="5"/>
      <c r="W43" s="5"/>
      <c r="X43" s="5"/>
      <c r="Y43" s="20" t="s">
        <v>134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t="15" customHeight="1">
      <c r="A44" s="1">
        <v>43</v>
      </c>
      <c r="B44" s="31">
        <v>46038</v>
      </c>
      <c r="C44" s="1" t="s">
        <v>25</v>
      </c>
      <c r="D44" s="1" t="s">
        <v>25</v>
      </c>
      <c r="E44" s="70" t="s">
        <v>162</v>
      </c>
      <c r="F44" s="1" t="s">
        <v>27</v>
      </c>
      <c r="G44" s="1" t="s">
        <v>163</v>
      </c>
      <c r="H44" s="1" t="s">
        <v>128</v>
      </c>
      <c r="I44" s="1" t="s">
        <v>49</v>
      </c>
      <c r="J44" s="1" t="s">
        <v>164</v>
      </c>
      <c r="M44" s="1">
        <v>2</v>
      </c>
      <c r="N44" s="1">
        <v>4</v>
      </c>
      <c r="O44" s="4">
        <f>Table1[[#This Row],[Unit Price with SST 8%]]/1.08</f>
        <v>1842.5925925925924</v>
      </c>
      <c r="P44" s="2">
        <v>1990</v>
      </c>
      <c r="Q44" s="4">
        <f>Table1[[#This Row],[Unit Price without SST]]*Table1[[#This Row],[No of Unit]]</f>
        <v>7370.3703703703695</v>
      </c>
      <c r="R44" s="5">
        <f>Table1[[#This Row],[Unit Price with SST 8%]]*Table1[[#This Row],[No of Unit]]</f>
        <v>7960</v>
      </c>
      <c r="S44" s="3">
        <f>Table1[[#This Row],[Total Price with SST 8%]]-Table1[[#This Row],[Total Price without SST]]</f>
        <v>589.62962962963047</v>
      </c>
      <c r="U44" s="5">
        <f>Table1[[#This Row],[Total Price with SST 8%]]-(Table1[[#This Row],[Total Price with SST 8%]]*Table1[[#This Row],[Discount %]]/100)</f>
        <v>7960</v>
      </c>
      <c r="V44" s="5"/>
      <c r="W44" s="5"/>
      <c r="X44" s="5"/>
      <c r="Y44" s="20" t="s">
        <v>34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t="15" customHeight="1">
      <c r="A45" s="1">
        <v>44</v>
      </c>
      <c r="B45" s="31">
        <v>46038</v>
      </c>
      <c r="C45" s="1" t="s">
        <v>25</v>
      </c>
      <c r="D45" s="1" t="s">
        <v>25</v>
      </c>
      <c r="E45" s="70" t="s">
        <v>165</v>
      </c>
      <c r="F45" s="1" t="s">
        <v>27</v>
      </c>
      <c r="G45" s="1" t="s">
        <v>166</v>
      </c>
      <c r="I45" s="1" t="s">
        <v>49</v>
      </c>
      <c r="J45" s="1" t="s">
        <v>166</v>
      </c>
      <c r="L45" s="8" t="s">
        <v>167</v>
      </c>
      <c r="M45" s="1">
        <v>2</v>
      </c>
      <c r="N45" s="1">
        <v>1</v>
      </c>
      <c r="O45" s="4">
        <f>Table1[[#This Row],[Unit Price with SST 8%]]/1.08</f>
        <v>925.92592592592587</v>
      </c>
      <c r="P45" s="2">
        <v>1000</v>
      </c>
      <c r="Q45" s="4">
        <f>Table1[[#This Row],[Unit Price without SST]]*Table1[[#This Row],[No of Unit]]</f>
        <v>925.92592592592587</v>
      </c>
      <c r="R45" s="5">
        <f>Table1[[#This Row],[Unit Price with SST 8%]]*Table1[[#This Row],[No of Unit]]</f>
        <v>1000</v>
      </c>
      <c r="S45" s="3">
        <f>Table1[[#This Row],[Total Price with SST 8%]]-Table1[[#This Row],[Total Price without SST]]</f>
        <v>74.074074074074133</v>
      </c>
      <c r="U45" s="5">
        <f>Table1[[#This Row],[Total Price with SST 8%]]-(Table1[[#This Row],[Total Price with SST 8%]]*Table1[[#This Row],[Discount %]]/100)</f>
        <v>1000</v>
      </c>
      <c r="V45" s="5"/>
      <c r="W45" s="5"/>
      <c r="X45" s="5"/>
      <c r="Y45" s="1" t="s">
        <v>168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t="15" customHeight="1">
      <c r="A46" s="1">
        <v>45</v>
      </c>
      <c r="B46" s="34">
        <v>46042</v>
      </c>
      <c r="C46" s="15" t="s">
        <v>25</v>
      </c>
      <c r="D46" s="15" t="s">
        <v>25</v>
      </c>
      <c r="E46" s="15" t="s">
        <v>169</v>
      </c>
      <c r="F46" s="15" t="s">
        <v>36</v>
      </c>
      <c r="G46" s="15" t="s">
        <v>170</v>
      </c>
      <c r="H46" s="15" t="s">
        <v>79</v>
      </c>
      <c r="I46" s="15" t="s">
        <v>49</v>
      </c>
      <c r="J46" s="15" t="s">
        <v>171</v>
      </c>
      <c r="K46" s="15"/>
      <c r="L46" s="15"/>
      <c r="M46" s="15">
        <v>2</v>
      </c>
      <c r="N46" s="15">
        <v>25</v>
      </c>
      <c r="O46" s="16">
        <f>Table1[[#This Row],[Unit Price with SST 8%]]/1.08</f>
        <v>777.77777777777771</v>
      </c>
      <c r="P46" s="17">
        <v>840</v>
      </c>
      <c r="Q46" s="16">
        <f>Table1[[#This Row],[Unit Price without SST]]*Table1[[#This Row],[No of Unit]]</f>
        <v>19444.444444444442</v>
      </c>
      <c r="R46" s="18">
        <f>Table1[[#This Row],[Unit Price with SST 8%]]*Table1[[#This Row],[No of Unit]]</f>
        <v>21000</v>
      </c>
      <c r="S46" s="19">
        <f>Table1[[#This Row],[Total Price with SST 8%]]-Table1[[#This Row],[Total Price without SST]]</f>
        <v>1555.5555555555584</v>
      </c>
      <c r="T46" s="15"/>
      <c r="U46" s="18">
        <f>Table1[[#This Row],[Total Price with SST 8%]]-(Table1[[#This Row],[Total Price with SST 8%]]*Table1[[#This Row],[Discount %]]/100)</f>
        <v>21000</v>
      </c>
      <c r="V46" s="18"/>
      <c r="W46" s="18"/>
      <c r="X46" s="18"/>
      <c r="Y46" s="20" t="s">
        <v>53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t="15" customHeight="1">
      <c r="A47" s="1">
        <v>46</v>
      </c>
      <c r="B47" s="34">
        <v>46042</v>
      </c>
      <c r="C47" s="15" t="s">
        <v>25</v>
      </c>
      <c r="D47" s="15" t="s">
        <v>25</v>
      </c>
      <c r="E47" s="15" t="s">
        <v>172</v>
      </c>
      <c r="F47" s="15" t="s">
        <v>36</v>
      </c>
      <c r="G47" s="15" t="s">
        <v>173</v>
      </c>
      <c r="H47" s="15" t="s">
        <v>79</v>
      </c>
      <c r="I47" s="15" t="s">
        <v>174</v>
      </c>
      <c r="J47" s="15" t="s">
        <v>175</v>
      </c>
      <c r="K47" s="15"/>
      <c r="L47" s="15"/>
      <c r="M47" s="15">
        <v>5</v>
      </c>
      <c r="N47" s="15">
        <v>30</v>
      </c>
      <c r="O47" s="16">
        <f>Table1[[#This Row],[Unit Price with SST 8%]]/1.08</f>
        <v>277.77777777777777</v>
      </c>
      <c r="P47" s="17">
        <v>300</v>
      </c>
      <c r="Q47" s="16">
        <f>Table1[[#This Row],[Unit Price without SST]]*Table1[[#This Row],[No of Unit]]*Table1[[#This Row],[Duration - Days]]</f>
        <v>41666.666666666672</v>
      </c>
      <c r="R47" s="18">
        <f>Table1[[#This Row],[Unit Price with SST 8%]]*Table1[[#This Row],[No of Unit]]*Table1[[#This Row],[Duration - Days]]</f>
        <v>45000</v>
      </c>
      <c r="S47" s="19">
        <f>Table1[[#This Row],[Total Price with SST 8%]]-Table1[[#This Row],[Total Price without SST]]</f>
        <v>3333.3333333333285</v>
      </c>
      <c r="T47" s="15"/>
      <c r="U47" s="18">
        <f>Table1[[#This Row],[Total Price with SST 8%]]-(Table1[[#This Row],[Total Price with SST 8%]]*Table1[[#This Row],[Discount %]]/100)</f>
        <v>45000</v>
      </c>
      <c r="V47" s="18"/>
      <c r="W47" s="18"/>
      <c r="X47" s="18"/>
      <c r="Y47" s="20" t="s">
        <v>53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t="15" customHeight="1">
      <c r="A48" s="1">
        <v>47</v>
      </c>
      <c r="B48" s="34">
        <v>46042</v>
      </c>
      <c r="C48" s="15" t="s">
        <v>25</v>
      </c>
      <c r="D48" s="15" t="s">
        <v>25</v>
      </c>
      <c r="E48" s="15" t="s">
        <v>176</v>
      </c>
      <c r="F48" s="15" t="s">
        <v>36</v>
      </c>
      <c r="G48" s="15" t="s">
        <v>173</v>
      </c>
      <c r="H48" s="15" t="s">
        <v>79</v>
      </c>
      <c r="I48" s="15" t="s">
        <v>177</v>
      </c>
      <c r="J48" s="15" t="s">
        <v>175</v>
      </c>
      <c r="K48" s="15"/>
      <c r="L48" s="15"/>
      <c r="M48" s="15">
        <v>2</v>
      </c>
      <c r="N48" s="15">
        <v>30</v>
      </c>
      <c r="O48" s="16">
        <f>Table1[[#This Row],[Unit Price with SST 8%]]/1.08</f>
        <v>555.55555555555554</v>
      </c>
      <c r="P48" s="17">
        <v>600</v>
      </c>
      <c r="Q48" s="16">
        <f>Table1[[#This Row],[Unit Price without SST]]*Table1[[#This Row],[No of Unit]]*Table1[[#This Row],[Duration - Days]]</f>
        <v>33333.333333333336</v>
      </c>
      <c r="R48" s="18">
        <f>Table1[[#This Row],[Unit Price with SST 8%]]*Table1[[#This Row],[No of Unit]]*Table1[[#This Row],[Duration - Days]]</f>
        <v>36000</v>
      </c>
      <c r="S48" s="19">
        <f>Table1[[#This Row],[Total Price with SST 8%]]-Table1[[#This Row],[Total Price without SST]]</f>
        <v>2666.6666666666642</v>
      </c>
      <c r="T48" s="15"/>
      <c r="U48" s="18">
        <f>Table1[[#This Row],[Total Price with SST 8%]]-(Table1[[#This Row],[Total Price with SST 8%]]*Table1[[#This Row],[Discount %]]/100)</f>
        <v>36000</v>
      </c>
      <c r="V48" s="18"/>
      <c r="W48" s="18"/>
      <c r="X48" s="18"/>
      <c r="Y48" s="20" t="s">
        <v>53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t="15" customHeight="1">
      <c r="A49" s="1">
        <v>48</v>
      </c>
      <c r="B49" s="34">
        <v>46042</v>
      </c>
      <c r="C49" s="15" t="s">
        <v>25</v>
      </c>
      <c r="D49" s="15" t="s">
        <v>25</v>
      </c>
      <c r="E49" s="15" t="s">
        <v>178</v>
      </c>
      <c r="F49" s="15" t="s">
        <v>36</v>
      </c>
      <c r="G49" s="15" t="s">
        <v>173</v>
      </c>
      <c r="H49" s="15" t="s">
        <v>79</v>
      </c>
      <c r="I49" s="15" t="s">
        <v>179</v>
      </c>
      <c r="J49" s="15" t="s">
        <v>175</v>
      </c>
      <c r="K49" s="15"/>
      <c r="L49" s="15"/>
      <c r="M49" s="15">
        <v>2</v>
      </c>
      <c r="N49" s="15">
        <v>30</v>
      </c>
      <c r="O49" s="16">
        <f>Table1[[#This Row],[Unit Price with SST 8%]]/1.08</f>
        <v>555.55555555555554</v>
      </c>
      <c r="P49" s="17">
        <v>600</v>
      </c>
      <c r="Q49" s="16">
        <f>Table1[[#This Row],[Unit Price without SST]]*Table1[[#This Row],[No of Unit]]*Table1[[#This Row],[Duration - Days]]</f>
        <v>33333.333333333336</v>
      </c>
      <c r="R49" s="18">
        <f>Table1[[#This Row],[Unit Price with SST 8%]]*Table1[[#This Row],[No of Unit]]*Table1[[#This Row],[Duration - Days]]</f>
        <v>36000</v>
      </c>
      <c r="S49" s="19">
        <f>Table1[[#This Row],[Total Price with SST 8%]]-Table1[[#This Row],[Total Price without SST]]</f>
        <v>2666.6666666666642</v>
      </c>
      <c r="T49" s="15"/>
      <c r="U49" s="18">
        <f>Table1[[#This Row],[Total Price with SST 8%]]-(Table1[[#This Row],[Total Price with SST 8%]]*Table1[[#This Row],[Discount %]]/100)</f>
        <v>36000</v>
      </c>
      <c r="V49" s="18"/>
      <c r="W49" s="18"/>
      <c r="X49" s="18"/>
      <c r="Y49" s="20" t="s">
        <v>53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t="15" customHeight="1">
      <c r="A50" s="1">
        <v>49</v>
      </c>
      <c r="B50" s="34">
        <v>46042</v>
      </c>
      <c r="C50" s="15" t="s">
        <v>25</v>
      </c>
      <c r="D50" s="15" t="s">
        <v>25</v>
      </c>
      <c r="E50" s="15" t="s">
        <v>180</v>
      </c>
      <c r="F50" s="15" t="s">
        <v>36</v>
      </c>
      <c r="G50" s="15" t="s">
        <v>181</v>
      </c>
      <c r="H50" s="15" t="s">
        <v>79</v>
      </c>
      <c r="I50" s="15" t="s">
        <v>49</v>
      </c>
      <c r="J50" s="15" t="s">
        <v>182</v>
      </c>
      <c r="K50" s="15"/>
      <c r="L50" s="15"/>
      <c r="M50" s="15">
        <v>2</v>
      </c>
      <c r="N50" s="15">
        <v>25</v>
      </c>
      <c r="O50" s="16">
        <f>Table1[[#This Row],[Unit Price with SST 8%]]/1.08</f>
        <v>833.33333333333326</v>
      </c>
      <c r="P50" s="17">
        <v>900</v>
      </c>
      <c r="Q50" s="16">
        <f>Table1[[#This Row],[Unit Price without SST]]*Table1[[#This Row],[No of Unit]]*Table1[[#This Row],[Duration - Days]]</f>
        <v>41666.666666666664</v>
      </c>
      <c r="R50" s="18">
        <f>Table1[[#This Row],[Unit Price with SST 8%]]*Table1[[#This Row],[No of Unit]]*Table1[[#This Row],[Duration - Days]]</f>
        <v>45000</v>
      </c>
      <c r="S50" s="19">
        <f>Table1[[#This Row],[Total Price with SST 8%]]-Table1[[#This Row],[Total Price without SST]]</f>
        <v>3333.3333333333358</v>
      </c>
      <c r="T50" s="15"/>
      <c r="U50" s="18">
        <f>Table1[[#This Row],[Total Price with SST 8%]]-(Table1[[#This Row],[Total Price with SST 8%]]*Table1[[#This Row],[Discount %]]/100)</f>
        <v>45000</v>
      </c>
      <c r="V50" s="18"/>
      <c r="W50" s="18"/>
      <c r="X50" s="18"/>
      <c r="Y50" s="20" t="s">
        <v>53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t="15" customHeight="1">
      <c r="A51" s="1">
        <v>50</v>
      </c>
      <c r="B51" s="34">
        <v>46042</v>
      </c>
      <c r="C51" s="15" t="s">
        <v>25</v>
      </c>
      <c r="D51" s="15" t="s">
        <v>25</v>
      </c>
      <c r="E51" s="15" t="s">
        <v>183</v>
      </c>
      <c r="F51" s="15" t="s">
        <v>36</v>
      </c>
      <c r="G51" s="15" t="s">
        <v>181</v>
      </c>
      <c r="H51" s="15" t="s">
        <v>79</v>
      </c>
      <c r="I51" s="15" t="s">
        <v>184</v>
      </c>
      <c r="J51" s="15" t="s">
        <v>182</v>
      </c>
      <c r="K51" s="15"/>
      <c r="L51" s="15"/>
      <c r="M51" s="15">
        <v>5</v>
      </c>
      <c r="N51" s="15">
        <v>15</v>
      </c>
      <c r="O51" s="16">
        <f>Table1[[#This Row],[Unit Price with SST 8%]]/1.08</f>
        <v>9722.2222222222208</v>
      </c>
      <c r="P51" s="17">
        <v>10500</v>
      </c>
      <c r="Q51" s="16">
        <f>Table1[[#This Row],[Unit Price without SST]]*Table1[[#This Row],[No of Unit]]</f>
        <v>145833.33333333331</v>
      </c>
      <c r="R51" s="18">
        <f>Table1[[#This Row],[Unit Price with SST 8%]]*Table1[[#This Row],[No of Unit]]</f>
        <v>157500</v>
      </c>
      <c r="S51" s="19">
        <f>Table1[[#This Row],[Total Price with SST 8%]]-Table1[[#This Row],[Total Price without SST]]</f>
        <v>11666.666666666686</v>
      </c>
      <c r="T51" s="15"/>
      <c r="U51" s="18">
        <f>Table1[[#This Row],[Total Price with SST 8%]]-(Table1[[#This Row],[Total Price with SST 8%]]*Table1[[#This Row],[Discount %]]/100)</f>
        <v>157500</v>
      </c>
      <c r="V51" s="18"/>
      <c r="W51" s="18"/>
      <c r="X51" s="18"/>
      <c r="Y51" s="20" t="s">
        <v>53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ht="35.25" customHeight="1">
      <c r="A52" s="1">
        <v>51</v>
      </c>
      <c r="B52" s="34">
        <v>46042</v>
      </c>
      <c r="C52" s="15" t="s">
        <v>25</v>
      </c>
      <c r="D52" s="15" t="s">
        <v>25</v>
      </c>
      <c r="E52" s="15" t="s">
        <v>185</v>
      </c>
      <c r="F52" s="15" t="s">
        <v>36</v>
      </c>
      <c r="G52" s="27" t="s">
        <v>186</v>
      </c>
      <c r="H52" s="15" t="s">
        <v>79</v>
      </c>
      <c r="I52" s="15" t="s">
        <v>49</v>
      </c>
      <c r="J52" s="15" t="s">
        <v>187</v>
      </c>
      <c r="K52" s="15"/>
      <c r="L52" s="15"/>
      <c r="M52" s="15">
        <v>2</v>
      </c>
      <c r="N52" s="15">
        <v>25</v>
      </c>
      <c r="O52" s="16">
        <f>Table1[[#This Row],[Unit Price with SST 8%]]/1.08</f>
        <v>777.77777777777771</v>
      </c>
      <c r="P52" s="17">
        <v>840</v>
      </c>
      <c r="Q52" s="16">
        <f>Table1[[#This Row],[Unit Price without SST]]*Table1[[#This Row],[No of Unit]]</f>
        <v>19444.444444444442</v>
      </c>
      <c r="R52" s="18">
        <f>Table1[[#This Row],[Unit Price with SST 8%]]*Table1[[#This Row],[No of Unit]]</f>
        <v>21000</v>
      </c>
      <c r="S52" s="19">
        <f>Table1[[#This Row],[Total Price with SST 8%]]-Table1[[#This Row],[Total Price without SST]]</f>
        <v>1555.5555555555584</v>
      </c>
      <c r="T52" s="15"/>
      <c r="U52" s="18">
        <f>Table1[[#This Row],[Total Price with SST 8%]]-(Table1[[#This Row],[Total Price with SST 8%]]*Table1[[#This Row],[Discount %]]/100)</f>
        <v>21000</v>
      </c>
      <c r="V52" s="18"/>
      <c r="W52" s="18"/>
      <c r="X52" s="18"/>
      <c r="Y52" s="20" t="s">
        <v>53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t="30" customHeight="1">
      <c r="A53" s="1">
        <v>52</v>
      </c>
      <c r="B53" s="34">
        <v>46042</v>
      </c>
      <c r="C53" s="15" t="s">
        <v>25</v>
      </c>
      <c r="D53" s="15" t="s">
        <v>25</v>
      </c>
      <c r="E53" s="15" t="s">
        <v>188</v>
      </c>
      <c r="F53" s="15" t="s">
        <v>36</v>
      </c>
      <c r="G53" s="27" t="s">
        <v>186</v>
      </c>
      <c r="H53" s="15" t="s">
        <v>79</v>
      </c>
      <c r="I53" s="15" t="s">
        <v>184</v>
      </c>
      <c r="J53" s="15" t="s">
        <v>187</v>
      </c>
      <c r="K53" s="15"/>
      <c r="L53" s="15"/>
      <c r="M53" s="15">
        <v>5</v>
      </c>
      <c r="N53" s="15">
        <v>10</v>
      </c>
      <c r="O53" s="16">
        <f>Table1[[#This Row],[Unit Price with SST 8%]]/1.08</f>
        <v>7407.4074074074069</v>
      </c>
      <c r="P53" s="17">
        <v>8000</v>
      </c>
      <c r="Q53" s="16">
        <f>Table1[[#This Row],[Unit Price without SST]]*Table1[[#This Row],[No of Unit]]</f>
        <v>74074.074074074073</v>
      </c>
      <c r="R53" s="18">
        <f>Table1[[#This Row],[Unit Price with SST 8%]]*Table1[[#This Row],[No of Unit]]</f>
        <v>80000</v>
      </c>
      <c r="S53" s="19">
        <f>Table1[[#This Row],[Total Price with SST 8%]]-Table1[[#This Row],[Total Price without SST]]</f>
        <v>5925.925925925927</v>
      </c>
      <c r="T53" s="15"/>
      <c r="U53" s="18">
        <f>Table1[[#This Row],[Total Price with SST 8%]]-(Table1[[#This Row],[Total Price with SST 8%]]*Table1[[#This Row],[Discount %]]/100)</f>
        <v>80000</v>
      </c>
      <c r="V53" s="18"/>
      <c r="W53" s="18"/>
      <c r="X53" s="18"/>
      <c r="Y53" s="20" t="s">
        <v>53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ht="15" customHeight="1">
      <c r="A54" s="1">
        <v>53</v>
      </c>
      <c r="B54" s="34">
        <v>46042</v>
      </c>
      <c r="C54" s="15" t="s">
        <v>25</v>
      </c>
      <c r="D54" s="15" t="s">
        <v>25</v>
      </c>
      <c r="E54" s="15" t="s">
        <v>189</v>
      </c>
      <c r="F54" s="15" t="s">
        <v>36</v>
      </c>
      <c r="G54" s="15" t="s">
        <v>190</v>
      </c>
      <c r="H54" s="15" t="s">
        <v>79</v>
      </c>
      <c r="I54" s="15" t="s">
        <v>49</v>
      </c>
      <c r="J54" s="15" t="s">
        <v>191</v>
      </c>
      <c r="K54" s="15"/>
      <c r="L54" s="15"/>
      <c r="M54" s="15">
        <v>2</v>
      </c>
      <c r="N54" s="15">
        <v>25</v>
      </c>
      <c r="O54" s="16">
        <f>Table1[[#This Row],[Unit Price with SST 8%]]/1.08</f>
        <v>777.77777777777771</v>
      </c>
      <c r="P54" s="17">
        <v>840</v>
      </c>
      <c r="Q54" s="16">
        <f>Table1[[#This Row],[Unit Price without SST]]*Table1[[#This Row],[No of Unit]]</f>
        <v>19444.444444444442</v>
      </c>
      <c r="R54" s="18">
        <f>Table1[[#This Row],[Unit Price with SST 8%]]*Table1[[#This Row],[No of Unit]]</f>
        <v>21000</v>
      </c>
      <c r="S54" s="19">
        <f>Table1[[#This Row],[Total Price with SST 8%]]-Table1[[#This Row],[Total Price without SST]]</f>
        <v>1555.5555555555584</v>
      </c>
      <c r="T54" s="15"/>
      <c r="U54" s="18">
        <f>Table1[[#This Row],[Total Price with SST 8%]]-(Table1[[#This Row],[Total Price with SST 8%]]*Table1[[#This Row],[Discount %]]/100)</f>
        <v>21000</v>
      </c>
      <c r="V54" s="18"/>
      <c r="W54" s="18"/>
      <c r="X54" s="18"/>
      <c r="Y54" s="20" t="s">
        <v>53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s="47" customFormat="1" ht="15" customHeight="1">
      <c r="A55" s="1">
        <v>54</v>
      </c>
      <c r="B55" s="31">
        <v>46042</v>
      </c>
      <c r="C55" s="1" t="s">
        <v>25</v>
      </c>
      <c r="D55" s="47" t="s">
        <v>25</v>
      </c>
      <c r="E55" s="70" t="s">
        <v>192</v>
      </c>
      <c r="F55" s="1" t="s">
        <v>36</v>
      </c>
      <c r="G55" s="1" t="s">
        <v>193</v>
      </c>
      <c r="H55" s="1" t="s">
        <v>194</v>
      </c>
      <c r="I55" s="1" t="s">
        <v>195</v>
      </c>
      <c r="J55" s="1" t="s">
        <v>196</v>
      </c>
      <c r="M55" s="1">
        <v>3</v>
      </c>
      <c r="N55" s="1">
        <v>24</v>
      </c>
      <c r="O55" s="4">
        <f>Table1[[#This Row],[Unit Price with SST 8%]]/1.08</f>
        <v>1844.1358024999997</v>
      </c>
      <c r="P55" s="2">
        <v>1991.6666667</v>
      </c>
      <c r="Q55" s="4">
        <f>Table1[[#This Row],[Unit Price without SST]]*Table1[[#This Row],[No of Unit]]</f>
        <v>44259.259259999992</v>
      </c>
      <c r="R55" s="46">
        <f>Table1[[#This Row],[Unit Price with SST 8%]]*Table1[[#This Row],[No of Unit]]</f>
        <v>47800.000000799999</v>
      </c>
      <c r="S55" s="54" t="s">
        <v>197</v>
      </c>
      <c r="T55" s="41"/>
      <c r="U55" s="46">
        <f>Table1[[#This Row],[Total Price with SST 8%]]-(Table1[[#This Row],[Total Price with SST 8%]]*Table1[[#This Row],[Discount %]]/100)</f>
        <v>47800.000000799999</v>
      </c>
      <c r="V55" s="46" t="s">
        <v>198</v>
      </c>
      <c r="W55" s="46" t="s">
        <v>81</v>
      </c>
      <c r="X55" s="46" t="s">
        <v>199</v>
      </c>
      <c r="Y55" s="41" t="s">
        <v>194</v>
      </c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</row>
    <row r="56" spans="1:49" s="41" customFormat="1" ht="15" customHeight="1">
      <c r="A56" s="1">
        <v>55</v>
      </c>
      <c r="B56" s="31">
        <v>46042</v>
      </c>
      <c r="C56" s="1" t="s">
        <v>200</v>
      </c>
      <c r="D56" s="41" t="s">
        <v>91</v>
      </c>
      <c r="E56" s="70" t="s">
        <v>201</v>
      </c>
      <c r="F56" s="1" t="s">
        <v>202</v>
      </c>
      <c r="G56" s="1" t="s">
        <v>203</v>
      </c>
      <c r="H56" s="1" t="s">
        <v>194</v>
      </c>
      <c r="I56" s="1" t="s">
        <v>204</v>
      </c>
      <c r="J56" s="1" t="s">
        <v>205</v>
      </c>
      <c r="M56" s="1">
        <v>0.5</v>
      </c>
      <c r="N56" s="1">
        <v>1</v>
      </c>
      <c r="O56" s="4">
        <f>Table1[[#This Row],[Unit Price with SST 8%]]/1</f>
        <v>2000</v>
      </c>
      <c r="P56" s="2">
        <v>2000</v>
      </c>
      <c r="Q56" s="4">
        <f>Table1[[#This Row],[Unit Price without SST]]*Table1[[#This Row],[No of Unit]]</f>
        <v>2000</v>
      </c>
      <c r="R56" s="46">
        <f>Table1[[#This Row],[Unit Price with SST 8%]]*Table1[[#This Row],[No of Unit]]</f>
        <v>2000</v>
      </c>
      <c r="S56" s="45">
        <f>Table1[[#This Row],[Total Price with SST 8%]]-Table1[[#This Row],[Total Price without SST]]</f>
        <v>0</v>
      </c>
      <c r="U56" s="46">
        <f>Table1[[#This Row],[Total Price with SST 8%]]-(Table1[[#This Row],[Total Price with SST 8%]]*Table1[[#This Row],[Discount %]]/100)</f>
        <v>2000</v>
      </c>
      <c r="V56" s="46" t="s">
        <v>198</v>
      </c>
      <c r="W56" s="46" t="s">
        <v>206</v>
      </c>
      <c r="X56" s="46" t="s">
        <v>199</v>
      </c>
      <c r="Y56" s="41" t="s">
        <v>194</v>
      </c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</row>
    <row r="57" spans="1:49" ht="15" customHeight="1">
      <c r="A57" s="1">
        <v>56</v>
      </c>
      <c r="B57" s="31">
        <v>46042</v>
      </c>
      <c r="C57" s="1" t="s">
        <v>25</v>
      </c>
      <c r="D57" s="1" t="s">
        <v>25</v>
      </c>
      <c r="E57" s="70" t="s">
        <v>207</v>
      </c>
      <c r="F57" s="1" t="s">
        <v>36</v>
      </c>
      <c r="G57" s="15" t="s">
        <v>208</v>
      </c>
      <c r="H57" s="15" t="s">
        <v>128</v>
      </c>
      <c r="I57" s="15" t="s">
        <v>184</v>
      </c>
      <c r="J57" s="15" t="s">
        <v>209</v>
      </c>
      <c r="K57" s="15">
        <v>60383148830</v>
      </c>
      <c r="L57" s="40" t="s">
        <v>210</v>
      </c>
      <c r="M57" s="1">
        <v>5</v>
      </c>
      <c r="N57" s="1">
        <v>10</v>
      </c>
      <c r="O57" s="4">
        <v>50000</v>
      </c>
      <c r="P57" s="2">
        <v>54000</v>
      </c>
      <c r="Q57" s="4">
        <f>Table1[[#This Row],[Unit Price without SST]]*Table1[[#This Row],[No of Unit]]</f>
        <v>500000</v>
      </c>
      <c r="R57" s="5">
        <f>Table1[[#This Row],[Unit Price with SST 8%]]*Table1[[#This Row],[No of Unit]]</f>
        <v>540000</v>
      </c>
      <c r="S57" s="3">
        <f>Table1[[#This Row],[Total Price with SST 8%]]-Table1[[#This Row],[Total Price without SST]]</f>
        <v>40000</v>
      </c>
      <c r="U57" s="5">
        <f>Table1[[#This Row],[Total Price with SST 8%]]-(Table1[[#This Row],[Total Price with SST 8%]]*Table1[[#This Row],[Discount %]]/100)</f>
        <v>540000</v>
      </c>
      <c r="V57" s="5"/>
      <c r="W57" s="5"/>
      <c r="X57" s="5"/>
      <c r="Y57" s="1" t="s">
        <v>128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t="15" customHeight="1">
      <c r="A58" s="1">
        <v>57</v>
      </c>
      <c r="B58" s="31">
        <v>46042</v>
      </c>
      <c r="C58" s="1" t="s">
        <v>25</v>
      </c>
      <c r="D58" s="1" t="s">
        <v>25</v>
      </c>
      <c r="E58" s="70" t="s">
        <v>211</v>
      </c>
      <c r="F58" s="1" t="s">
        <v>36</v>
      </c>
      <c r="G58" s="15" t="s">
        <v>208</v>
      </c>
      <c r="H58" s="15" t="s">
        <v>128</v>
      </c>
      <c r="I58" s="15" t="s">
        <v>49</v>
      </c>
      <c r="J58" s="15" t="s">
        <v>209</v>
      </c>
      <c r="K58" s="15">
        <v>60383148830</v>
      </c>
      <c r="L58" s="40" t="s">
        <v>210</v>
      </c>
      <c r="M58" s="1">
        <v>2</v>
      </c>
      <c r="N58" s="1">
        <v>25</v>
      </c>
      <c r="O58" s="4">
        <v>21000</v>
      </c>
      <c r="P58" s="2">
        <v>22680</v>
      </c>
      <c r="Q58" s="4">
        <f>Table1[[#This Row],[Unit Price without SST]]*Table1[[#This Row],[No of Unit]]</f>
        <v>525000</v>
      </c>
      <c r="R58" s="5">
        <f>Table1[[#This Row],[Unit Price with SST 8%]]*Table1[[#This Row],[No of Unit]]</f>
        <v>567000</v>
      </c>
      <c r="S58" s="3">
        <f>Table1[[#This Row],[Total Price with SST 8%]]-Table1[[#This Row],[Total Price without SST]]</f>
        <v>42000</v>
      </c>
      <c r="U58" s="5">
        <f>Table1[[#This Row],[Total Price with SST 8%]]-(Table1[[#This Row],[Total Price with SST 8%]]*Table1[[#This Row],[Discount %]]/100)</f>
        <v>567000</v>
      </c>
      <c r="V58" s="5"/>
      <c r="W58" s="5"/>
      <c r="X58" s="5"/>
      <c r="Y58" s="1" t="s">
        <v>128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s="47" customFormat="1" ht="15" customHeight="1">
      <c r="A59" s="1">
        <v>58</v>
      </c>
      <c r="B59" s="31">
        <v>46045</v>
      </c>
      <c r="C59" s="1" t="s">
        <v>25</v>
      </c>
      <c r="D59" s="47" t="s">
        <v>25</v>
      </c>
      <c r="E59" s="70" t="s">
        <v>212</v>
      </c>
      <c r="F59" s="1" t="s">
        <v>36</v>
      </c>
      <c r="G59" s="1" t="s">
        <v>213</v>
      </c>
      <c r="H59" s="1" t="s">
        <v>194</v>
      </c>
      <c r="I59" s="1" t="s">
        <v>214</v>
      </c>
      <c r="J59" s="1" t="s">
        <v>215</v>
      </c>
      <c r="M59" s="1">
        <v>1</v>
      </c>
      <c r="N59" s="1">
        <v>30</v>
      </c>
      <c r="O59" s="4">
        <f>Table1[[#This Row],[Unit Price with SST 8%]]/1.08</f>
        <v>324.07407407407408</v>
      </c>
      <c r="P59" s="2">
        <v>350</v>
      </c>
      <c r="Q59" s="4">
        <f>Table1[[#This Row],[Unit Price without SST]]*Table1[[#This Row],[No of Unit]]</f>
        <v>9722.2222222222226</v>
      </c>
      <c r="R59" s="46">
        <f>Table1[[#This Row],[Unit Price with SST 8%]]*Table1[[#This Row],[No of Unit]]</f>
        <v>10500</v>
      </c>
      <c r="S59" s="45">
        <f>Table1[[#This Row],[Total Price with SST 8%]]-Table1[[#This Row],[Total Price without SST]]</f>
        <v>777.77777777777737</v>
      </c>
      <c r="T59" s="41"/>
      <c r="U59" s="46">
        <f>Table1[[#This Row],[Total Price with SST 8%]]-(Table1[[#This Row],[Total Price with SST 8%]]*Table1[[#This Row],[Discount %]]/100)</f>
        <v>10500</v>
      </c>
      <c r="V59" s="46" t="s">
        <v>198</v>
      </c>
      <c r="W59" s="46" t="s">
        <v>81</v>
      </c>
      <c r="X59" s="46" t="s">
        <v>199</v>
      </c>
      <c r="Y59" s="41" t="s">
        <v>194</v>
      </c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</row>
    <row r="60" spans="1:49" s="47" customFormat="1" ht="15" customHeight="1">
      <c r="A60" s="1">
        <v>59</v>
      </c>
      <c r="B60" s="48">
        <v>46045</v>
      </c>
      <c r="C60" s="47" t="s">
        <v>25</v>
      </c>
      <c r="D60" s="47" t="s">
        <v>25</v>
      </c>
      <c r="E60" s="71" t="s">
        <v>216</v>
      </c>
      <c r="F60" s="47" t="s">
        <v>36</v>
      </c>
      <c r="G60" s="47" t="s">
        <v>213</v>
      </c>
      <c r="H60" s="47" t="s">
        <v>194</v>
      </c>
      <c r="I60" s="47" t="s">
        <v>217</v>
      </c>
      <c r="J60" s="47" t="s">
        <v>215</v>
      </c>
      <c r="M60" s="47">
        <v>2</v>
      </c>
      <c r="N60" s="47">
        <v>25</v>
      </c>
      <c r="O60" s="49">
        <f>Table1[[#This Row],[Unit Price with SST 8%]]/1.08</f>
        <v>777.77777777777771</v>
      </c>
      <c r="P60" s="50">
        <v>840</v>
      </c>
      <c r="Q60" s="49">
        <f>Table1[[#This Row],[Unit Price without SST]]*Table1[[#This Row],[No of Unit]]</f>
        <v>19444.444444444442</v>
      </c>
      <c r="R60" s="51">
        <f>Table1[[#This Row],[Unit Price with SST 8%]]*Table1[[#This Row],[No of Unit]]</f>
        <v>21000</v>
      </c>
      <c r="S60" s="50">
        <f>Table1[[#This Row],[Total Price with SST 8%]]-Table1[[#This Row],[Total Price without SST]]</f>
        <v>1555.5555555555584</v>
      </c>
      <c r="U60" s="51">
        <f>Table1[[#This Row],[Total Price with SST 8%]]-(Table1[[#This Row],[Total Price with SST 8%]]*Table1[[#This Row],[Discount %]]/100)</f>
        <v>21000</v>
      </c>
      <c r="V60" s="51" t="s">
        <v>33</v>
      </c>
      <c r="W60" s="51"/>
      <c r="X60" s="51"/>
      <c r="Y60" s="47" t="s">
        <v>194</v>
      </c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</row>
    <row r="61" spans="1:49" ht="15" customHeight="1">
      <c r="A61" s="1">
        <v>60</v>
      </c>
      <c r="B61" s="31">
        <v>46050</v>
      </c>
      <c r="C61" s="1" t="s">
        <v>25</v>
      </c>
      <c r="D61" s="1" t="s">
        <v>25</v>
      </c>
      <c r="E61" s="70" t="s">
        <v>218</v>
      </c>
      <c r="F61" s="1" t="s">
        <v>36</v>
      </c>
      <c r="G61" s="1" t="s">
        <v>219</v>
      </c>
      <c r="H61" s="1" t="s">
        <v>194</v>
      </c>
      <c r="I61" s="1" t="s">
        <v>220</v>
      </c>
      <c r="J61" s="1" t="s">
        <v>221</v>
      </c>
      <c r="L61" s="8" t="s">
        <v>222</v>
      </c>
      <c r="M61" s="1">
        <v>1</v>
      </c>
      <c r="N61" s="1">
        <v>6</v>
      </c>
      <c r="O61" s="4">
        <f>Table1[[#This Row],[Unit Price with SST 8%]]/1.08</f>
        <v>100</v>
      </c>
      <c r="P61" s="2">
        <f>100*1.08</f>
        <v>108</v>
      </c>
      <c r="Q61" s="4">
        <f>Table1[[#This Row],[Unit Price without SST]]*Table1[[#This Row],[No of Unit]]</f>
        <v>600</v>
      </c>
      <c r="R61" s="5">
        <f>Table1[[#This Row],[Unit Price with SST 8%]]*Table1[[#This Row],[No of Unit]]</f>
        <v>648</v>
      </c>
      <c r="S61" s="3">
        <f>Table1[[#This Row],[Total Price with SST 8%]]-Table1[[#This Row],[Total Price without SST]]</f>
        <v>48</v>
      </c>
      <c r="U61" s="5">
        <f>Table1[[#This Row],[Total Price with SST 8%]]-(Table1[[#This Row],[Total Price with SST 8%]]*Table1[[#This Row],[Discount %]]/100)</f>
        <v>648</v>
      </c>
      <c r="V61" s="5" t="s">
        <v>33</v>
      </c>
      <c r="W61" s="5"/>
      <c r="X61" s="5"/>
      <c r="Y61" s="1" t="s">
        <v>194</v>
      </c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</row>
    <row r="62" spans="1:49" ht="15" customHeight="1">
      <c r="A62" s="1">
        <v>61</v>
      </c>
      <c r="B62" s="30" t="s">
        <v>223</v>
      </c>
      <c r="C62" s="1" t="s">
        <v>25</v>
      </c>
      <c r="D62" s="1" t="s">
        <v>25</v>
      </c>
      <c r="E62" s="70" t="s">
        <v>224</v>
      </c>
      <c r="F62" s="1" t="s">
        <v>27</v>
      </c>
      <c r="G62" s="1" t="s">
        <v>225</v>
      </c>
      <c r="I62" s="1" t="s">
        <v>226</v>
      </c>
      <c r="J62" s="1" t="s">
        <v>227</v>
      </c>
      <c r="M62" s="1">
        <v>2</v>
      </c>
      <c r="N62" s="1">
        <v>1</v>
      </c>
      <c r="O62" s="21">
        <v>921.3</v>
      </c>
      <c r="P62" s="2">
        <v>921</v>
      </c>
      <c r="Q62" s="1">
        <v>19990</v>
      </c>
      <c r="R62" s="5">
        <v>1842.59</v>
      </c>
      <c r="S62" s="3">
        <v>147.41</v>
      </c>
      <c r="U62" s="5">
        <v>1990</v>
      </c>
      <c r="V62" s="5" t="s">
        <v>33</v>
      </c>
      <c r="W62" s="5"/>
      <c r="X62" s="5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t="15" customHeight="1">
      <c r="A63" s="1">
        <v>62</v>
      </c>
      <c r="B63" s="34">
        <v>46084</v>
      </c>
      <c r="C63" s="15" t="s">
        <v>25</v>
      </c>
      <c r="D63" s="15"/>
      <c r="E63" s="72" t="s">
        <v>228</v>
      </c>
      <c r="F63" s="15" t="s">
        <v>36</v>
      </c>
      <c r="G63" s="15" t="s">
        <v>229</v>
      </c>
      <c r="H63" s="15" t="s">
        <v>79</v>
      </c>
      <c r="I63" s="15" t="s">
        <v>230</v>
      </c>
      <c r="J63" s="15" t="s">
        <v>231</v>
      </c>
      <c r="K63" s="15"/>
      <c r="L63" s="15"/>
      <c r="M63" s="15">
        <v>5</v>
      </c>
      <c r="N63" s="15">
        <v>3</v>
      </c>
      <c r="O63" s="16">
        <f>Table1[[#This Row],[Unit Price with SST 8%]]/1.08</f>
        <v>1388.8888888888887</v>
      </c>
      <c r="P63" s="17">
        <v>1500</v>
      </c>
      <c r="Q63" s="16">
        <f>Table1[[#This Row],[Unit Price without SST]]*Table1[[#This Row],[No of Unit]]*Table1[[#This Row],[Duration - Days]]</f>
        <v>20833.333333333328</v>
      </c>
      <c r="R63" s="18">
        <f>Table1[[#This Row],[Unit Price with SST 8%]]*Table1[[#This Row],[No of Unit]]*Table1[[#This Row],[Duration - Days]]</f>
        <v>22500</v>
      </c>
      <c r="S63" s="19">
        <f>Table1[[#This Row],[Total Price with SST 8%]]-Table1[[#This Row],[Total Price without SST]]</f>
        <v>1666.6666666666715</v>
      </c>
      <c r="T63" s="15"/>
      <c r="U63" s="18">
        <f>Table1[[#This Row],[Total Price with SST 8%]]-(Table1[[#This Row],[Total Price with SST 8%]]*Table1[[#This Row],[Discount %]]/100)</f>
        <v>22500</v>
      </c>
      <c r="V63" s="18" t="s">
        <v>33</v>
      </c>
      <c r="W63" s="5"/>
      <c r="X63" s="5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ht="15" customHeight="1">
      <c r="A64" s="1">
        <v>63</v>
      </c>
      <c r="B64" s="34">
        <v>46085</v>
      </c>
      <c r="C64" s="15" t="s">
        <v>25</v>
      </c>
      <c r="D64" s="15"/>
      <c r="E64" s="72" t="s">
        <v>232</v>
      </c>
      <c r="F64" s="15" t="s">
        <v>36</v>
      </c>
      <c r="G64" s="15" t="s">
        <v>229</v>
      </c>
      <c r="H64" s="15" t="s">
        <v>79</v>
      </c>
      <c r="I64" s="15" t="s">
        <v>230</v>
      </c>
      <c r="J64" s="15" t="s">
        <v>231</v>
      </c>
      <c r="K64" s="15"/>
      <c r="L64" s="15"/>
      <c r="M64" s="15">
        <v>5</v>
      </c>
      <c r="N64" s="15">
        <v>2</v>
      </c>
      <c r="O64" s="16">
        <f>Table1[[#This Row],[Unit Price with SST 8%]]/1.08</f>
        <v>1388.8888888888887</v>
      </c>
      <c r="P64" s="17">
        <v>1500</v>
      </c>
      <c r="Q64" s="16">
        <f>Table1[[#This Row],[Unit Price without SST]]*Table1[[#This Row],[No of Unit]]*Table1[[#This Row],[Duration - Days]]</f>
        <v>13888.888888888887</v>
      </c>
      <c r="R64" s="18">
        <f>Table1[[#This Row],[Unit Price with SST 8%]]*Table1[[#This Row],[No of Unit]]*Table1[[#This Row],[Duration - Days]]</f>
        <v>15000</v>
      </c>
      <c r="S64" s="19">
        <f>Table1[[#This Row],[Total Price with SST 8%]]-Table1[[#This Row],[Total Price without SST]]</f>
        <v>1111.1111111111131</v>
      </c>
      <c r="T64" s="15"/>
      <c r="U64" s="53">
        <f>Table1[[#This Row],[Total Price with SST 8%]]-(Table1[[#This Row],[Total Price with SST 8%]]*Table1[[#This Row],[Discount %]]/100)</f>
        <v>15000</v>
      </c>
      <c r="V64" s="18" t="s">
        <v>33</v>
      </c>
      <c r="W64" s="5"/>
      <c r="X64" s="5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t="15" customHeight="1">
      <c r="A65" s="1">
        <v>64</v>
      </c>
      <c r="B65" s="31">
        <v>46090</v>
      </c>
      <c r="C65" s="1" t="s">
        <v>25</v>
      </c>
      <c r="E65" s="70" t="s">
        <v>233</v>
      </c>
      <c r="F65" s="1" t="s">
        <v>36</v>
      </c>
      <c r="G65" s="1" t="s">
        <v>234</v>
      </c>
      <c r="H65" s="1" t="s">
        <v>235</v>
      </c>
      <c r="I65" s="1" t="s">
        <v>236</v>
      </c>
      <c r="J65" s="1" t="s">
        <v>237</v>
      </c>
      <c r="M65" s="1">
        <v>2</v>
      </c>
      <c r="N65" s="1">
        <v>1</v>
      </c>
      <c r="O65" s="21">
        <v>10500</v>
      </c>
      <c r="P65" s="2">
        <v>11340</v>
      </c>
      <c r="Q65" s="52">
        <v>21000</v>
      </c>
      <c r="R65" s="5">
        <v>22680</v>
      </c>
      <c r="S65" s="3">
        <v>1680</v>
      </c>
      <c r="U65" s="5">
        <v>22680</v>
      </c>
      <c r="V65" s="18" t="s">
        <v>33</v>
      </c>
      <c r="W65" s="5"/>
      <c r="X65" s="5"/>
      <c r="Y65" s="1" t="s">
        <v>238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t="15" customHeight="1">
      <c r="A66" s="1">
        <v>65</v>
      </c>
      <c r="B66" s="31">
        <v>46100</v>
      </c>
      <c r="C66" s="1" t="s">
        <v>25</v>
      </c>
      <c r="E66" s="70" t="s">
        <v>239</v>
      </c>
      <c r="F66" s="1" t="s">
        <v>36</v>
      </c>
      <c r="G66" s="1" t="s">
        <v>240</v>
      </c>
      <c r="H66" s="1" t="s">
        <v>235</v>
      </c>
      <c r="I66" s="1" t="s">
        <v>236</v>
      </c>
      <c r="J66" s="1" t="s">
        <v>237</v>
      </c>
      <c r="M66" s="1">
        <v>2</v>
      </c>
      <c r="N66" s="1">
        <v>1</v>
      </c>
      <c r="O66" s="21">
        <v>7000</v>
      </c>
      <c r="P66" s="2"/>
      <c r="Q66" s="21">
        <f>Table1[[#This Row],[Unit Price without SST]]*Table1[[#This Row],[No of Unit]]</f>
        <v>7000</v>
      </c>
      <c r="R66" s="5">
        <f>Table1[[#This Row],[Unit Price with SST 8%]]*Table1[[#This Row],[No of Unit]]</f>
        <v>0</v>
      </c>
      <c r="S66" s="3">
        <f>Table1[[#This Row],[Total Price with SST 8%]]-Table1[[#This Row],[Total Price without SST]]</f>
        <v>-7000</v>
      </c>
      <c r="U66" s="22">
        <f>Table1[[#This Row],[Total Price with SST 8%]]-(Table1[[#This Row],[Total Price with SST 8%]]*Table1[[#This Row],[Discount %]]/100)</f>
        <v>0</v>
      </c>
      <c r="V66" s="18" t="s">
        <v>33</v>
      </c>
      <c r="W66" s="5"/>
      <c r="X66" s="5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ht="15" customHeight="1">
      <c r="A67" s="1">
        <v>66</v>
      </c>
      <c r="B67" s="69" t="s">
        <v>241</v>
      </c>
      <c r="C67" s="69" t="s">
        <v>25</v>
      </c>
      <c r="E67" s="70" t="s">
        <v>242</v>
      </c>
      <c r="F67" s="69" t="s">
        <v>36</v>
      </c>
      <c r="G67" s="73" t="s">
        <v>243</v>
      </c>
      <c r="H67" s="69" t="s">
        <v>79</v>
      </c>
      <c r="I67" s="69" t="s">
        <v>230</v>
      </c>
      <c r="J67" s="73" t="s">
        <v>244</v>
      </c>
      <c r="M67" s="1">
        <v>5</v>
      </c>
      <c r="N67" s="1">
        <v>1</v>
      </c>
      <c r="O67" s="4">
        <f>Table1[[#This Row],[Unit Price with SST 8%]]/1.08</f>
        <v>1018.5185185185185</v>
      </c>
      <c r="P67" s="2">
        <v>1100</v>
      </c>
      <c r="Q67" s="4">
        <f>Table1[[#This Row],[Unit Price without SST]]*Table1[[#This Row],[No of Unit]]*Table1[[#This Row],[Duration - Days]]</f>
        <v>5092.5925925925922</v>
      </c>
      <c r="R67" s="5">
        <f>Table1[[#This Row],[Unit Price with SST 8%]]*Table1[[#This Row],[No of Unit]]*Table1[[#This Row],[Duration - Days]]</f>
        <v>5500</v>
      </c>
      <c r="S67" s="3">
        <f>Table1[[#This Row],[Total Price with SST 8%]]-Table1[[#This Row],[Total Price without SST]]</f>
        <v>407.40740740740785</v>
      </c>
      <c r="U67" s="22">
        <f>Table1[[#This Row],[Total Price with SST 8%]]-(Table1[[#This Row],[Total Price with SST 8%]]*Table1[[#This Row],[Discount %]]/100)</f>
        <v>5500</v>
      </c>
      <c r="V67" s="18" t="s">
        <v>33</v>
      </c>
      <c r="W67" s="5"/>
      <c r="X67" s="5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t="15" customHeight="1">
      <c r="A68" s="1">
        <v>67</v>
      </c>
      <c r="B68" s="69" t="s">
        <v>241</v>
      </c>
      <c r="C68" s="69" t="s">
        <v>25</v>
      </c>
      <c r="E68" s="70" t="s">
        <v>245</v>
      </c>
      <c r="F68" s="69" t="s">
        <v>36</v>
      </c>
      <c r="G68" s="73" t="s">
        <v>246</v>
      </c>
      <c r="H68" s="69" t="s">
        <v>128</v>
      </c>
      <c r="I68" s="69" t="s">
        <v>230</v>
      </c>
      <c r="J68" s="73" t="s">
        <v>247</v>
      </c>
      <c r="M68" s="1">
        <v>5</v>
      </c>
      <c r="N68" s="1">
        <v>2</v>
      </c>
      <c r="O68" s="4">
        <f>Table1[[#This Row],[Unit Price with SST 8%]]/1.08</f>
        <v>925.92592592592587</v>
      </c>
      <c r="P68" s="2">
        <v>1000</v>
      </c>
      <c r="Q68" s="4">
        <f>Table1[[#This Row],[Unit Price without SST]]*Table1[[#This Row],[No of Unit]]*Table1[[#This Row],[Duration - Days]]</f>
        <v>9259.2592592592591</v>
      </c>
      <c r="R68" s="5">
        <f>Table1[[#This Row],[Unit Price with SST 8%]]*Table1[[#This Row],[No of Unit]]*Table1[[#This Row],[Duration - Days]]</f>
        <v>10000</v>
      </c>
      <c r="S68" s="3">
        <f>Table1[[#This Row],[Total Price with SST 8%]]-Table1[[#This Row],[Total Price without SST]]</f>
        <v>740.74074074074088</v>
      </c>
      <c r="U68" s="22">
        <f>Table1[[#This Row],[Total Price with SST 8%]]-(Table1[[#This Row],[Total Price with SST 8%]]*Table1[[#This Row],[Discount %]]/100)</f>
        <v>10000</v>
      </c>
      <c r="V68" s="18" t="s">
        <v>33</v>
      </c>
      <c r="W68" s="5"/>
      <c r="X68" s="5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ht="15" customHeight="1">
      <c r="A69" s="1">
        <v>68</v>
      </c>
      <c r="B69" s="69" t="s">
        <v>241</v>
      </c>
      <c r="C69" s="69" t="s">
        <v>25</v>
      </c>
      <c r="E69" s="70" t="s">
        <v>248</v>
      </c>
      <c r="F69" s="69" t="s">
        <v>36</v>
      </c>
      <c r="G69" s="73" t="s">
        <v>249</v>
      </c>
      <c r="H69" s="69" t="s">
        <v>128</v>
      </c>
      <c r="I69" s="69" t="s">
        <v>230</v>
      </c>
      <c r="J69" s="73" t="s">
        <v>250</v>
      </c>
      <c r="M69" s="1">
        <v>5</v>
      </c>
      <c r="N69" s="1">
        <v>1</v>
      </c>
      <c r="O69" s="4">
        <f>Table1[[#This Row],[Unit Price with SST 8%]]/1.08</f>
        <v>1018.5185185185185</v>
      </c>
      <c r="P69" s="2">
        <v>1100</v>
      </c>
      <c r="Q69" s="4">
        <f>Table1[[#This Row],[Unit Price without SST]]*Table1[[#This Row],[No of Unit]]*Table1[[#This Row],[Duration - Days]]</f>
        <v>5092.5925925925922</v>
      </c>
      <c r="R69" s="5">
        <f>Table1[[#This Row],[Unit Price with SST 8%]]*Table1[[#This Row],[No of Unit]]*Table1[[#This Row],[Duration - Days]]</f>
        <v>5500</v>
      </c>
      <c r="S69" s="3">
        <f>Table1[[#This Row],[Total Price with SST 8%]]-Table1[[#This Row],[Total Price without SST]]</f>
        <v>407.40740740740785</v>
      </c>
      <c r="U69" s="22">
        <f>Table1[[#This Row],[Total Price with SST 8%]]-(Table1[[#This Row],[Total Price with SST 8%]]*Table1[[#This Row],[Discount %]]/100)</f>
        <v>5500</v>
      </c>
      <c r="V69" s="18" t="s">
        <v>33</v>
      </c>
      <c r="W69" s="5"/>
      <c r="X69" s="5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t="15" customHeight="1">
      <c r="A70" s="1">
        <v>69</v>
      </c>
      <c r="B70" s="69" t="s">
        <v>241</v>
      </c>
      <c r="C70" s="69" t="s">
        <v>25</v>
      </c>
      <c r="E70" s="70" t="s">
        <v>251</v>
      </c>
      <c r="F70" s="69" t="s">
        <v>36</v>
      </c>
      <c r="G70" s="73" t="s">
        <v>252</v>
      </c>
      <c r="H70" s="69" t="s">
        <v>79</v>
      </c>
      <c r="I70" s="69" t="s">
        <v>230</v>
      </c>
      <c r="J70" s="73" t="s">
        <v>253</v>
      </c>
      <c r="M70" s="1">
        <v>5</v>
      </c>
      <c r="N70" s="1">
        <v>1</v>
      </c>
      <c r="O70" s="4">
        <f>Table1[[#This Row],[Unit Price with SST 8%]]/1.08</f>
        <v>1018.5185185185185</v>
      </c>
      <c r="P70" s="2">
        <v>1100</v>
      </c>
      <c r="Q70" s="4">
        <f>Table1[[#This Row],[Unit Price without SST]]*Table1[[#This Row],[No of Unit]]*Table1[[#This Row],[Duration - Days]]</f>
        <v>5092.5925925925922</v>
      </c>
      <c r="R70" s="5">
        <f>Table1[[#This Row],[Unit Price with SST 8%]]*Table1[[#This Row],[No of Unit]]*Table1[[#This Row],[Duration - Days]]</f>
        <v>5500</v>
      </c>
      <c r="S70" s="3">
        <f>Table1[[#This Row],[Total Price with SST 8%]]-Table1[[#This Row],[Total Price without SST]]</f>
        <v>407.40740740740785</v>
      </c>
      <c r="U70" s="22">
        <f>Table1[[#This Row],[Total Price with SST 8%]]-(Table1[[#This Row],[Total Price with SST 8%]]*Table1[[#This Row],[Discount %]]/100)</f>
        <v>5500</v>
      </c>
      <c r="V70" s="18" t="s">
        <v>33</v>
      </c>
      <c r="W70" s="5"/>
      <c r="X70" s="5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ht="15" customHeight="1">
      <c r="A71" s="1">
        <v>70</v>
      </c>
      <c r="B71" s="69" t="s">
        <v>254</v>
      </c>
      <c r="C71" s="69" t="s">
        <v>25</v>
      </c>
      <c r="E71" s="74" t="s">
        <v>255</v>
      </c>
      <c r="F71" s="69" t="s">
        <v>36</v>
      </c>
      <c r="G71" s="75" t="s">
        <v>256</v>
      </c>
      <c r="H71" s="69" t="s">
        <v>79</v>
      </c>
      <c r="I71" s="1" t="s">
        <v>257</v>
      </c>
      <c r="J71" s="75" t="s">
        <v>258</v>
      </c>
      <c r="M71" s="1">
        <v>3</v>
      </c>
      <c r="N71" s="1">
        <v>15</v>
      </c>
      <c r="O71" s="4">
        <f>Table1[[#This Row],[Unit Price with SST 8%]]/1.08</f>
        <v>555.55555555555554</v>
      </c>
      <c r="P71" s="2">
        <v>600</v>
      </c>
      <c r="Q71" s="4">
        <f>Table1[[#This Row],[Unit Price without SST]]*Table1[[#This Row],[No of Unit]]*Table1[[#This Row],[Duration - Days]]</f>
        <v>25000</v>
      </c>
      <c r="R71" s="5">
        <f>Table1[[#This Row],[Unit Price with SST 8%]]*Table1[[#This Row],[No of Unit]]*Table1[[#This Row],[Duration - Days]]</f>
        <v>27000</v>
      </c>
      <c r="S71" s="3">
        <f>Table1[[#This Row],[Total Price with SST 8%]]-Table1[[#This Row],[Total Price without SST]]</f>
        <v>2000</v>
      </c>
      <c r="U71" s="22">
        <f>Table1[[#This Row],[Total Price with SST 8%]]-(Table1[[#This Row],[Total Price with SST 8%]]*Table1[[#This Row],[Discount %]]/100)</f>
        <v>27000</v>
      </c>
      <c r="V71" s="18" t="s">
        <v>33</v>
      </c>
      <c r="W71" s="5"/>
      <c r="X71" s="5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ht="15" customHeight="1">
      <c r="A72" s="1">
        <v>71</v>
      </c>
      <c r="B72" s="69" t="s">
        <v>259</v>
      </c>
      <c r="C72" s="69" t="s">
        <v>25</v>
      </c>
      <c r="E72" s="74" t="s">
        <v>260</v>
      </c>
      <c r="F72" s="69" t="s">
        <v>36</v>
      </c>
      <c r="G72" s="73" t="s">
        <v>261</v>
      </c>
      <c r="H72" s="69" t="s">
        <v>79</v>
      </c>
      <c r="I72" s="69" t="s">
        <v>230</v>
      </c>
      <c r="J72" s="73" t="s">
        <v>262</v>
      </c>
      <c r="M72" s="1">
        <v>5</v>
      </c>
      <c r="N72" s="1">
        <v>1</v>
      </c>
      <c r="O72" s="4">
        <f>Table1[[#This Row],[Unit Price with SST 8%]]/1.08</f>
        <v>1944.4444444444443</v>
      </c>
      <c r="P72" s="2">
        <v>2100</v>
      </c>
      <c r="Q72" s="4">
        <f>Table1[[#This Row],[Unit Price without SST]]*Table1[[#This Row],[No of Unit]]*Table1[[#This Row],[Duration - Days]]</f>
        <v>9722.2222222222226</v>
      </c>
      <c r="R72" s="5">
        <f>Table1[[#This Row],[Unit Price with SST 8%]]*Table1[[#This Row],[No of Unit]]*Table1[[#This Row],[Duration - Days]]</f>
        <v>10500</v>
      </c>
      <c r="S72" s="3">
        <f>Table1[[#This Row],[Total Price with SST 8%]]-Table1[[#This Row],[Total Price without SST]]</f>
        <v>777.77777777777737</v>
      </c>
      <c r="U72" s="22">
        <f>Table1[[#This Row],[Total Price with SST 8%]]-(Table1[[#This Row],[Total Price with SST 8%]]*Table1[[#This Row],[Discount %]]/100)</f>
        <v>10500</v>
      </c>
      <c r="V72" s="18" t="s">
        <v>33</v>
      </c>
      <c r="W72" s="5"/>
      <c r="X72" s="5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ht="15" customHeight="1">
      <c r="A73" s="1">
        <v>72</v>
      </c>
      <c r="B73" s="31">
        <v>46177</v>
      </c>
      <c r="C73" s="1" t="s">
        <v>25</v>
      </c>
      <c r="E73" s="74" t="s">
        <v>263</v>
      </c>
      <c r="F73" s="28" t="s">
        <v>27</v>
      </c>
      <c r="G73" s="1" t="s">
        <v>264</v>
      </c>
      <c r="H73" s="1" t="s">
        <v>79</v>
      </c>
      <c r="I73" s="1" t="s">
        <v>265</v>
      </c>
      <c r="J73" s="1" t="s">
        <v>266</v>
      </c>
      <c r="M73" s="1">
        <v>5</v>
      </c>
      <c r="N73" s="1">
        <v>5</v>
      </c>
      <c r="O73" s="21">
        <v>7500</v>
      </c>
      <c r="P73" s="2"/>
      <c r="Q73" s="21">
        <f>Table1[[#This Row],[Unit Price without SST]]*Table1[[#This Row],[No of Unit]]</f>
        <v>37500</v>
      </c>
      <c r="R73" s="5">
        <f>Table1[[#This Row],[Total Price without SST]]+3000</f>
        <v>40500</v>
      </c>
      <c r="S73" s="3">
        <f>8%*Table1[[#This Row],[Total Price without SST]]</f>
        <v>3000</v>
      </c>
      <c r="U73" s="22">
        <f>Table1[[#This Row],[Total Price with SST 8%]]-(Table1[[#This Row],[Total Price with SST 8%]]*Table1[[#This Row],[Discount %]]/100)</f>
        <v>40500</v>
      </c>
      <c r="V73" s="5" t="s">
        <v>33</v>
      </c>
      <c r="W73" s="5"/>
      <c r="X73" s="5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ht="15" customHeight="1">
      <c r="A74" s="1">
        <v>73</v>
      </c>
      <c r="C74" s="1" t="s">
        <v>25</v>
      </c>
      <c r="E74" s="74" t="s">
        <v>267</v>
      </c>
      <c r="F74" s="28" t="s">
        <v>36</v>
      </c>
      <c r="G74" s="1" t="s">
        <v>268</v>
      </c>
      <c r="H74" s="1" t="s">
        <v>235</v>
      </c>
      <c r="I74" s="76" t="s">
        <v>269</v>
      </c>
      <c r="J74" s="1" t="s">
        <v>270</v>
      </c>
      <c r="M74" s="1">
        <v>3</v>
      </c>
      <c r="N74" s="1">
        <v>3</v>
      </c>
      <c r="O74" s="4">
        <v>10500</v>
      </c>
      <c r="P74" s="2">
        <v>11340</v>
      </c>
      <c r="Q74" s="4">
        <f>Table1[[#This Row],[Unit Price without SST]]*Table1[[#This Row],[No of Unit]]</f>
        <v>31500</v>
      </c>
      <c r="R74" s="5">
        <f>Table1[[#This Row],[Unit Price with SST 8%]]*Table1[[#This Row],[No of Unit]]</f>
        <v>34020</v>
      </c>
      <c r="S74" s="3">
        <f>Table1[[#This Row],[Total Price with SST 8%]]-Table1[[#This Row],[Total Price without SST]]</f>
        <v>2520</v>
      </c>
      <c r="U74" s="5">
        <f>Table1[[#This Row],[Total Price with SST 8%]]-(Table1[[#This Row],[Total Price with SST 8%]]*Table1[[#This Row],[Discount %]]/100)</f>
        <v>34020</v>
      </c>
      <c r="V74" s="5" t="s">
        <v>33</v>
      </c>
      <c r="W74" s="5"/>
      <c r="X74" s="5"/>
      <c r="Y74" s="1" t="s">
        <v>238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ht="15" customHeight="1">
      <c r="A75" s="1">
        <v>74</v>
      </c>
      <c r="C75" s="1" t="s">
        <v>25</v>
      </c>
      <c r="E75" s="74" t="s">
        <v>271</v>
      </c>
      <c r="F75" s="28" t="s">
        <v>36</v>
      </c>
      <c r="G75" s="1" t="s">
        <v>268</v>
      </c>
      <c r="H75" s="1" t="s">
        <v>235</v>
      </c>
      <c r="I75" s="1" t="s">
        <v>272</v>
      </c>
      <c r="J75" s="1" t="s">
        <v>270</v>
      </c>
      <c r="M75" s="1">
        <v>2</v>
      </c>
      <c r="N75" s="1">
        <v>2</v>
      </c>
      <c r="O75" s="4">
        <v>10500</v>
      </c>
      <c r="P75" s="2">
        <v>11340</v>
      </c>
      <c r="Q75" s="4">
        <f>Table1[[#This Row],[Unit Price without SST]]*Table1[[#This Row],[No of Unit]]</f>
        <v>21000</v>
      </c>
      <c r="R75" s="5">
        <f>Table1[[#This Row],[Unit Price with SST 8%]]*Table1[[#This Row],[No of Unit]]</f>
        <v>22680</v>
      </c>
      <c r="S75" s="3">
        <f>Table1[[#This Row],[Total Price with SST 8%]]-Table1[[#This Row],[Total Price without SST]]</f>
        <v>1680</v>
      </c>
      <c r="U75" s="5">
        <f>Table1[[#This Row],[Total Price with SST 8%]]-(Table1[[#This Row],[Total Price with SST 8%]]*Table1[[#This Row],[Discount %]]/100)</f>
        <v>22680</v>
      </c>
      <c r="V75" s="5" t="s">
        <v>33</v>
      </c>
      <c r="W75" s="5"/>
      <c r="X75" s="5"/>
      <c r="Y75" s="1" t="s">
        <v>238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ht="15" customHeight="1">
      <c r="A76" s="1">
        <v>75</v>
      </c>
      <c r="C76" s="1" t="s">
        <v>25</v>
      </c>
      <c r="E76" s="74" t="s">
        <v>273</v>
      </c>
      <c r="F76" s="28" t="s">
        <v>36</v>
      </c>
      <c r="G76" s="1" t="s">
        <v>274</v>
      </c>
      <c r="H76" s="1" t="s">
        <v>128</v>
      </c>
      <c r="I76" s="1" t="s">
        <v>275</v>
      </c>
      <c r="J76" s="1" t="s">
        <v>276</v>
      </c>
      <c r="O76" s="4">
        <f>Table1[[#This Row],[Unit Price with SST 8%]]/1.08</f>
        <v>0</v>
      </c>
      <c r="P76" s="2"/>
      <c r="Q76" s="4">
        <f>Table1[[#This Row],[Unit Price without SST]]*Table1[[#This Row],[No of Unit]]</f>
        <v>0</v>
      </c>
      <c r="R76" s="5">
        <f>Table1[[#This Row],[Unit Price with SST 8%]]*Table1[[#This Row],[No of Unit]]</f>
        <v>0</v>
      </c>
      <c r="S76" s="3">
        <f>Table1[[#This Row],[Total Price with SST 8%]]-Table1[[#This Row],[Total Price without SST]]</f>
        <v>0</v>
      </c>
      <c r="U76" s="5">
        <f>Table1[[#This Row],[Total Price with SST 8%]]-(Table1[[#This Row],[Total Price with SST 8%]]*Table1[[#This Row],[Discount %]]/100)</f>
        <v>0</v>
      </c>
      <c r="V76" s="5"/>
      <c r="W76" s="5"/>
      <c r="X76" s="5"/>
      <c r="Y76" s="1" t="s">
        <v>277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ht="15" customHeight="1">
      <c r="A77" s="1">
        <v>76</v>
      </c>
      <c r="C77" s="1" t="s">
        <v>25</v>
      </c>
      <c r="E77" s="77" t="s">
        <v>278</v>
      </c>
      <c r="F77" s="28" t="s">
        <v>36</v>
      </c>
      <c r="G77" s="1" t="s">
        <v>279</v>
      </c>
      <c r="H77" s="1" t="s">
        <v>79</v>
      </c>
      <c r="I77" s="1" t="s">
        <v>153</v>
      </c>
      <c r="J77" s="1" t="s">
        <v>280</v>
      </c>
      <c r="M77" s="1">
        <v>5</v>
      </c>
      <c r="N77" s="1">
        <v>10</v>
      </c>
      <c r="O77" s="4">
        <v>5500</v>
      </c>
      <c r="P77" s="2"/>
      <c r="Q77" s="4"/>
      <c r="R77" s="5">
        <f>Table1[[#This Row],[Unit Price without SST]]*Table1[[#This Row],[No of Unit]]</f>
        <v>55000</v>
      </c>
      <c r="S77" s="3"/>
      <c r="U77" s="5">
        <f>Table1[[#This Row],[Total Price with SST 8%]]-(Table1[[#This Row],[Total Price with SST 8%]]*Table1[[#This Row],[Discount %]]/100)</f>
        <v>55000</v>
      </c>
      <c r="V77" s="5" t="s">
        <v>33</v>
      </c>
      <c r="W77" s="5"/>
      <c r="X77" s="5"/>
      <c r="Y77" s="1" t="s">
        <v>134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ht="15" customHeight="1">
      <c r="A78" s="1">
        <v>77</v>
      </c>
      <c r="C78" s="1" t="s">
        <v>25</v>
      </c>
      <c r="E78" s="77" t="s">
        <v>281</v>
      </c>
      <c r="F78" s="28" t="s">
        <v>36</v>
      </c>
      <c r="G78" s="1" t="s">
        <v>282</v>
      </c>
      <c r="H78" s="1" t="s">
        <v>79</v>
      </c>
      <c r="I78" s="1" t="s">
        <v>257</v>
      </c>
      <c r="J78" s="1" t="s">
        <v>283</v>
      </c>
      <c r="M78" s="1">
        <v>2</v>
      </c>
      <c r="N78" s="1">
        <v>20</v>
      </c>
      <c r="O78" s="4">
        <f>Table1[[#This Row],[Unit Price with SST 8%]]/1.08</f>
        <v>555.55555555555554</v>
      </c>
      <c r="P78" s="4">
        <v>600</v>
      </c>
      <c r="Q78" s="4">
        <f>Table1[[#This Row],[Unit Price without SST]]*Table1[[#This Row],[No of Unit]]*Table1[[#This Row],[Duration - Days]]</f>
        <v>22222.222222222223</v>
      </c>
      <c r="R78" s="5">
        <f>Table1[[#This Row],[Unit Price with SST 8%]]*Table1[[#This Row],[No of Unit]]*Table1[[#This Row],[Duration - Days]]</f>
        <v>24000</v>
      </c>
      <c r="S78" s="3">
        <f>Table1[[#This Row],[Total Price with SST 8%]]-Table1[[#This Row],[Total Price without SST]]</f>
        <v>1777.7777777777774</v>
      </c>
      <c r="U78" s="5">
        <f>Table1[[#This Row],[Total Price with SST 8%]]-(Table1[[#This Row],[Total Price with SST 8%]]*Table1[[#This Row],[Discount %]]/100)</f>
        <v>24000</v>
      </c>
      <c r="V78" s="5" t="s">
        <v>33</v>
      </c>
      <c r="W78" s="5"/>
      <c r="X78" s="5"/>
      <c r="Y78" s="1" t="s">
        <v>53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ht="15" customHeight="1">
      <c r="A79" s="1">
        <v>78</v>
      </c>
      <c r="C79" s="1" t="s">
        <v>25</v>
      </c>
      <c r="E79" s="77" t="s">
        <v>284</v>
      </c>
      <c r="F79" s="28" t="s">
        <v>36</v>
      </c>
      <c r="G79" s="1" t="s">
        <v>282</v>
      </c>
      <c r="H79" s="1" t="s">
        <v>79</v>
      </c>
      <c r="I79" s="1" t="s">
        <v>153</v>
      </c>
      <c r="J79" s="1" t="s">
        <v>283</v>
      </c>
      <c r="M79" s="1">
        <v>5</v>
      </c>
      <c r="N79" s="1">
        <v>10</v>
      </c>
      <c r="O79" s="4">
        <f>Table1[[#This Row],[Unit Price with SST 8%]]/1.08</f>
        <v>5092.5925925925922</v>
      </c>
      <c r="P79" s="2">
        <v>5500</v>
      </c>
      <c r="Q79" s="4">
        <f>Table1[[#This Row],[Unit Price without SST]]*Table1[[#This Row],[No of Unit]]</f>
        <v>50925.92592592592</v>
      </c>
      <c r="R79" s="5">
        <f>Table1[[#This Row],[Unit Price with SST 8%]]*Table1[[#This Row],[No of Unit]]</f>
        <v>55000</v>
      </c>
      <c r="S79" s="3">
        <f>Table1[[#This Row],[Total Price with SST 8%]]-Table1[[#This Row],[Total Price without SST]]</f>
        <v>4074.0740740740803</v>
      </c>
      <c r="U79" s="5">
        <f>Table1[[#This Row],[Total Price with SST 8%]]-(Table1[[#This Row],[Total Price with SST 8%]]*Table1[[#This Row],[Discount %]]/100)</f>
        <v>55000</v>
      </c>
      <c r="V79" s="5" t="s">
        <v>33</v>
      </c>
      <c r="W79" s="5"/>
      <c r="X79" s="5"/>
      <c r="Y79" s="1" t="s">
        <v>134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ht="15" customHeight="1">
      <c r="A80" s="1">
        <v>79</v>
      </c>
      <c r="C80" s="1" t="s">
        <v>25</v>
      </c>
      <c r="E80" s="77" t="s">
        <v>285</v>
      </c>
      <c r="F80" s="28" t="s">
        <v>27</v>
      </c>
      <c r="G80" s="1" t="s">
        <v>286</v>
      </c>
      <c r="H80" s="1" t="s">
        <v>168</v>
      </c>
      <c r="I80" s="1" t="s">
        <v>226</v>
      </c>
      <c r="J80" s="74" t="s">
        <v>287</v>
      </c>
      <c r="M80" s="1">
        <v>2</v>
      </c>
      <c r="N80" s="1">
        <v>1</v>
      </c>
      <c r="O80" s="4">
        <f>Table1[[#This Row],[Unit Price with SST 8%]]/1.08</f>
        <v>921.29629629629619</v>
      </c>
      <c r="P80" s="2">
        <v>995</v>
      </c>
      <c r="Q80" s="4">
        <v>1842.59</v>
      </c>
      <c r="R80" s="5">
        <v>1990</v>
      </c>
      <c r="S80" s="3">
        <f>Table1[[#This Row],[Total Price with SST 8%]]-Table1[[#This Row],[Total Price without SST]]</f>
        <v>147.41000000000008</v>
      </c>
      <c r="U80" s="5">
        <v>1990</v>
      </c>
      <c r="V80" s="5"/>
      <c r="W80" s="5"/>
      <c r="X80" s="5"/>
      <c r="Y80" s="1" t="s">
        <v>168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ht="15" customHeight="1">
      <c r="A81" s="1">
        <v>80</v>
      </c>
      <c r="C81" s="1" t="s">
        <v>25</v>
      </c>
      <c r="E81" s="77" t="s">
        <v>288</v>
      </c>
      <c r="F81" s="28" t="s">
        <v>27</v>
      </c>
      <c r="G81" s="1" t="s">
        <v>289</v>
      </c>
      <c r="H81" s="1" t="s">
        <v>79</v>
      </c>
      <c r="I81" s="78" t="s">
        <v>226</v>
      </c>
      <c r="J81" s="1" t="s">
        <v>290</v>
      </c>
      <c r="M81" s="1">
        <v>2</v>
      </c>
      <c r="N81" s="1">
        <v>1</v>
      </c>
      <c r="O81" s="4">
        <v>2777.78</v>
      </c>
      <c r="P81" s="2">
        <v>3000</v>
      </c>
      <c r="Q81" s="4">
        <v>2777.78</v>
      </c>
      <c r="R81" s="5">
        <v>3000</v>
      </c>
      <c r="S81" s="3">
        <v>222.22</v>
      </c>
      <c r="U81" s="5">
        <v>3000</v>
      </c>
      <c r="V81" s="5" t="s">
        <v>198</v>
      </c>
      <c r="W81" s="5"/>
      <c r="X81" s="5"/>
      <c r="Y81" s="1" t="s">
        <v>168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t="15" customHeight="1">
      <c r="A82" s="1">
        <v>81</v>
      </c>
      <c r="B82" s="31">
        <v>46058</v>
      </c>
      <c r="C82" s="1" t="s">
        <v>200</v>
      </c>
      <c r="D82" s="1" t="s">
        <v>91</v>
      </c>
      <c r="E82" s="77" t="s">
        <v>291</v>
      </c>
      <c r="F82" s="1" t="s">
        <v>292</v>
      </c>
      <c r="G82" s="1" t="s">
        <v>293</v>
      </c>
      <c r="H82" s="1" t="s">
        <v>194</v>
      </c>
      <c r="I82" s="1" t="s">
        <v>294</v>
      </c>
      <c r="J82" s="1" t="s">
        <v>295</v>
      </c>
      <c r="N82" s="1">
        <v>50</v>
      </c>
      <c r="O82" s="4">
        <f>Table1[[#This Row],[Unit Price with SST 8%]]/1.08</f>
        <v>50</v>
      </c>
      <c r="P82" s="2">
        <v>54</v>
      </c>
      <c r="Q82" s="4">
        <f>Table1[[#This Row],[Unit Price without SST]]*Table1[[#This Row],[No of Unit]]</f>
        <v>2500</v>
      </c>
      <c r="R82" s="5">
        <f>Table1[[#This Row],[Unit Price with SST 8%]]*Table1[[#This Row],[No of Unit]]</f>
        <v>2700</v>
      </c>
      <c r="S82" s="3">
        <f>Table1[[#This Row],[Total Price with SST 8%]]-Table1[[#This Row],[Total Price without SST]]</f>
        <v>200</v>
      </c>
      <c r="U82" s="5">
        <f>Table1[[#This Row],[Total Price with SST 8%]]-(Table1[[#This Row],[Total Price with SST 8%]]*Table1[[#This Row],[Discount %]]/100)</f>
        <v>2700</v>
      </c>
      <c r="V82" s="5" t="s">
        <v>33</v>
      </c>
      <c r="W82" s="5"/>
      <c r="X82" s="5"/>
      <c r="Y82" s="1" t="s">
        <v>194</v>
      </c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</row>
    <row r="83" spans="1:49" ht="15" customHeight="1">
      <c r="A83" s="1">
        <v>82</v>
      </c>
      <c r="C83" s="1" t="s">
        <v>25</v>
      </c>
      <c r="E83" s="79" t="s">
        <v>296</v>
      </c>
      <c r="F83" s="1" t="s">
        <v>36</v>
      </c>
      <c r="G83" s="1" t="s">
        <v>297</v>
      </c>
      <c r="H83" s="1" t="s">
        <v>298</v>
      </c>
      <c r="I83" s="1" t="s">
        <v>226</v>
      </c>
      <c r="J83" s="1" t="s">
        <v>299</v>
      </c>
      <c r="M83" s="1">
        <v>2</v>
      </c>
      <c r="N83" s="1">
        <v>1</v>
      </c>
      <c r="O83" s="4">
        <v>23000</v>
      </c>
      <c r="P83" s="2">
        <v>24840</v>
      </c>
      <c r="Q83" s="4">
        <v>23000</v>
      </c>
      <c r="R83" s="5">
        <f>Table1[[#This Row],[Unit Price with SST 8%]]*Table1[[#This Row],[No of Unit]]</f>
        <v>24840</v>
      </c>
      <c r="S83" s="3">
        <f>Table1[[#This Row],[Total Price with SST 8%]]-Table1[[#This Row],[Total Price without SST]]</f>
        <v>1840</v>
      </c>
      <c r="U83" s="5">
        <f>Table1[[#This Row],[Total Price with SST 8%]]-(Table1[[#This Row],[Total Price with SST 8%]]*Table1[[#This Row],[Discount %]]/100)</f>
        <v>24840</v>
      </c>
      <c r="V83" s="5" t="s">
        <v>300</v>
      </c>
      <c r="W83" s="5"/>
      <c r="X83" s="5"/>
      <c r="Y83" s="1" t="s">
        <v>298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ht="15" customHeight="1">
      <c r="A84" s="1">
        <v>83</v>
      </c>
      <c r="C84" s="1" t="s">
        <v>25</v>
      </c>
      <c r="E84" s="79" t="s">
        <v>301</v>
      </c>
      <c r="F84" s="1" t="s">
        <v>36</v>
      </c>
      <c r="G84" s="1" t="s">
        <v>297</v>
      </c>
      <c r="H84" s="1" t="s">
        <v>298</v>
      </c>
      <c r="I84" s="1" t="s">
        <v>226</v>
      </c>
      <c r="J84" s="1" t="s">
        <v>299</v>
      </c>
      <c r="M84" s="1">
        <v>2</v>
      </c>
      <c r="N84" s="1">
        <v>1</v>
      </c>
      <c r="O84" s="4">
        <v>23000</v>
      </c>
      <c r="P84" s="2">
        <v>24840</v>
      </c>
      <c r="Q84" s="4">
        <v>23000</v>
      </c>
      <c r="R84" s="5">
        <f>Table1[[#This Row],[Unit Price with SST 8%]]*Table1[[#This Row],[No of Unit]]</f>
        <v>24840</v>
      </c>
      <c r="S84" s="3">
        <f>Table1[[#This Row],[Total Price with SST 8%]]-Table1[[#This Row],[Total Price without SST]]</f>
        <v>1840</v>
      </c>
      <c r="U84" s="5">
        <f>Table1[[#This Row],[Total Price with SST 8%]]-(Table1[[#This Row],[Total Price with SST 8%]]*Table1[[#This Row],[Discount %]]/100)</f>
        <v>24840</v>
      </c>
      <c r="V84" s="5" t="s">
        <v>300</v>
      </c>
      <c r="W84" s="5"/>
      <c r="X84" s="5"/>
      <c r="Y84" s="1" t="s">
        <v>298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ht="15" customHeight="1">
      <c r="A85" s="1">
        <v>84</v>
      </c>
      <c r="C85" s="1" t="s">
        <v>25</v>
      </c>
      <c r="E85" s="38" t="s">
        <v>302</v>
      </c>
      <c r="F85" s="15" t="s">
        <v>36</v>
      </c>
      <c r="G85" s="15" t="s">
        <v>116</v>
      </c>
      <c r="H85" s="1" t="s">
        <v>79</v>
      </c>
      <c r="I85" s="15" t="s">
        <v>117</v>
      </c>
      <c r="J85" s="15" t="s">
        <v>303</v>
      </c>
      <c r="K85" s="15"/>
      <c r="L85" s="39" t="s">
        <v>304</v>
      </c>
      <c r="M85" s="15">
        <v>2</v>
      </c>
      <c r="N85" s="15">
        <v>11</v>
      </c>
      <c r="O85" s="4">
        <f>Table1[[#This Row],[Unit Price with SST 8%]]/1.08</f>
        <v>883.83703703703691</v>
      </c>
      <c r="P85" s="2">
        <v>954.54399999999998</v>
      </c>
      <c r="Q85" s="4">
        <f>Table1[[#This Row],[Unit Price without SST]]*Table1[[#This Row],[No of Unit]]*Table1[[#This Row],[Duration - Days]]</f>
        <v>19444.414814814812</v>
      </c>
      <c r="R85" s="5">
        <f>Table1[[#This Row],[Unit Price with SST 8%]]*Table1[[#This Row],[No of Unit]]*Table1[[#This Row],[Duration - Days]]</f>
        <v>20999.968000000001</v>
      </c>
      <c r="S85" s="3">
        <f>Table1[[#This Row],[Total Price with SST 8%]]-Table1[[#This Row],[Total Price without SST]]</f>
        <v>1555.5531851851883</v>
      </c>
      <c r="U85" s="5">
        <f>Table1[[#This Row],[Total Price with SST 8%]]-(Table1[[#This Row],[Total Price with SST 8%]]*Table1[[#This Row],[Discount %]]/100)</f>
        <v>20999.968000000001</v>
      </c>
      <c r="V85" s="5" t="s">
        <v>198</v>
      </c>
      <c r="W85" s="5"/>
      <c r="X85" s="5"/>
      <c r="Y85" s="1" t="s">
        <v>53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t="15" customHeight="1">
      <c r="A86" s="1">
        <v>85</v>
      </c>
      <c r="C86" s="1" t="s">
        <v>25</v>
      </c>
      <c r="E86" s="77" t="s">
        <v>305</v>
      </c>
      <c r="F86" s="1" t="s">
        <v>27</v>
      </c>
      <c r="G86" s="80" t="s">
        <v>306</v>
      </c>
      <c r="H86" s="1" t="s">
        <v>168</v>
      </c>
      <c r="I86" s="1" t="s">
        <v>236</v>
      </c>
      <c r="J86" s="80" t="s">
        <v>306</v>
      </c>
      <c r="M86" s="1">
        <v>2</v>
      </c>
      <c r="N86" s="1">
        <v>1</v>
      </c>
      <c r="O86" s="82">
        <v>1388.89</v>
      </c>
      <c r="P86" s="2">
        <v>1500</v>
      </c>
      <c r="Q86" s="4">
        <f>Table1[[#This Row],[Unit Price without SST]]*Table1[[#This Row],[No of Unit]]</f>
        <v>1388.89</v>
      </c>
      <c r="R86" s="5">
        <v>1500</v>
      </c>
      <c r="S86" s="3">
        <v>111.11</v>
      </c>
      <c r="U86" s="5">
        <v>1500</v>
      </c>
      <c r="V86" s="5" t="s">
        <v>198</v>
      </c>
      <c r="W86" s="5"/>
      <c r="X86" s="5"/>
      <c r="Y86" s="1" t="s">
        <v>277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ht="15" customHeight="1">
      <c r="A87" s="1">
        <v>86</v>
      </c>
      <c r="C87" s="1" t="s">
        <v>25</v>
      </c>
      <c r="E87" s="77" t="s">
        <v>307</v>
      </c>
      <c r="F87" s="1" t="s">
        <v>36</v>
      </c>
      <c r="G87" s="1" t="s">
        <v>297</v>
      </c>
      <c r="H87" s="1" t="s">
        <v>298</v>
      </c>
      <c r="I87" s="15" t="s">
        <v>49</v>
      </c>
      <c r="J87" s="1" t="s">
        <v>299</v>
      </c>
      <c r="M87" s="1">
        <v>2</v>
      </c>
      <c r="N87" s="1">
        <v>1</v>
      </c>
      <c r="O87" s="4">
        <v>23000</v>
      </c>
      <c r="P87" s="2">
        <v>24840</v>
      </c>
      <c r="Q87" s="4">
        <f>Table1[[#This Row],[Unit Price without SST]]*Table1[[#This Row],[No of Unit]]</f>
        <v>23000</v>
      </c>
      <c r="R87" s="5">
        <f>Table1[[#This Row],[Unit Price with SST 8%]]*Table1[[#This Row],[No of Unit]]</f>
        <v>24840</v>
      </c>
      <c r="S87" s="3">
        <f>Table1[[#This Row],[Total Price with SST 8%]]-Table1[[#This Row],[Total Price without SST]]</f>
        <v>1840</v>
      </c>
      <c r="U87" s="5">
        <f>Table1[[#This Row],[Total Price with SST 8%]]-(Table1[[#This Row],[Total Price with SST 8%]]*Table1[[#This Row],[Discount %]]/100)</f>
        <v>24840</v>
      </c>
      <c r="V87" s="5" t="s">
        <v>300</v>
      </c>
      <c r="W87" s="5"/>
      <c r="X87" s="5"/>
      <c r="Y87" s="1" t="s">
        <v>298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t="15" customHeight="1">
      <c r="A88" s="1">
        <v>87</v>
      </c>
      <c r="C88" s="1" t="s">
        <v>25</v>
      </c>
      <c r="E88" s="81" t="s">
        <v>308</v>
      </c>
      <c r="F88" s="1" t="s">
        <v>27</v>
      </c>
      <c r="G88" s="1" t="s">
        <v>99</v>
      </c>
      <c r="H88" s="1" t="s">
        <v>168</v>
      </c>
      <c r="M88" s="1">
        <v>2</v>
      </c>
      <c r="N88" s="1">
        <v>3</v>
      </c>
      <c r="O88" s="4">
        <f>Table1[[#This Row],[Unit Price with SST 8%]]/1.08</f>
        <v>694.44444444444434</v>
      </c>
      <c r="P88" s="2">
        <v>750</v>
      </c>
      <c r="Q88" s="4">
        <f>Table1[[#This Row],[Unit Price without SST]]*Table1[[#This Row],[No of Unit]]*2</f>
        <v>4166.6666666666661</v>
      </c>
      <c r="R88" s="5">
        <f>Table1[[#This Row],[Unit Price with SST 8%]]*Table1[[#This Row],[No of Unit]]*2</f>
        <v>4500</v>
      </c>
      <c r="S88" s="3">
        <f>Table1[[#This Row],[Total Price with SST 8%]]-Table1[[#This Row],[Total Price without SST]]</f>
        <v>333.33333333333394</v>
      </c>
      <c r="U88" s="5">
        <f>Table1[[#This Row],[Total Price with SST 8%]]-(Table1[[#This Row],[Total Price with SST 8%]]*Table1[[#This Row],[Discount %]]/100)</f>
        <v>4500</v>
      </c>
      <c r="V88" s="5"/>
      <c r="W88" s="5"/>
      <c r="X88" s="5"/>
      <c r="Y88" s="1" t="s">
        <v>277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ht="15" customHeight="1">
      <c r="A89" s="1">
        <v>88</v>
      </c>
      <c r="B89" s="31">
        <v>46328</v>
      </c>
      <c r="C89" s="1" t="s">
        <v>25</v>
      </c>
      <c r="E89" s="77" t="s">
        <v>309</v>
      </c>
      <c r="F89" s="28" t="s">
        <v>36</v>
      </c>
      <c r="G89" s="1" t="s">
        <v>268</v>
      </c>
      <c r="H89" s="1" t="s">
        <v>235</v>
      </c>
      <c r="I89" s="1" t="s">
        <v>310</v>
      </c>
      <c r="J89" s="1" t="s">
        <v>270</v>
      </c>
      <c r="M89" s="1">
        <v>2</v>
      </c>
      <c r="N89" s="1">
        <v>2</v>
      </c>
      <c r="O89" s="4">
        <v>10500</v>
      </c>
      <c r="P89" s="2">
        <v>11340</v>
      </c>
      <c r="Q89" s="4">
        <f>Table1[[#This Row],[Unit Price without SST]]*Table1[[#This Row],[No of Unit]]</f>
        <v>21000</v>
      </c>
      <c r="R89" s="5">
        <f>Table1[[#This Row],[Unit Price with SST 8%]]*Table1[[#This Row],[No of Unit]]</f>
        <v>22680</v>
      </c>
      <c r="S89" s="3">
        <f>Table1[[#This Row],[Total Price with SST 8%]]-Table1[[#This Row],[Total Price without SST]]</f>
        <v>1680</v>
      </c>
      <c r="U89" s="5">
        <f>Table1[[#This Row],[Total Price with SST 8%]]-(Table1[[#This Row],[Total Price with SST 8%]]*Table1[[#This Row],[Discount %]]/100)</f>
        <v>22680</v>
      </c>
      <c r="V89" s="5" t="s">
        <v>33</v>
      </c>
      <c r="W89" s="5"/>
      <c r="X89" s="5"/>
      <c r="Y89" s="1" t="s">
        <v>238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t="15" customHeight="1">
      <c r="A90" s="1">
        <v>89</v>
      </c>
      <c r="B90" s="31">
        <v>46328</v>
      </c>
      <c r="C90" s="1" t="s">
        <v>25</v>
      </c>
      <c r="E90" s="81" t="s">
        <v>311</v>
      </c>
      <c r="F90" s="28" t="s">
        <v>36</v>
      </c>
      <c r="G90" s="1" t="s">
        <v>268</v>
      </c>
      <c r="H90" s="1" t="s">
        <v>235</v>
      </c>
      <c r="I90" s="1" t="s">
        <v>312</v>
      </c>
      <c r="J90" s="1" t="s">
        <v>270</v>
      </c>
      <c r="M90" s="1">
        <v>2</v>
      </c>
      <c r="N90" s="1">
        <v>2</v>
      </c>
      <c r="O90" s="4">
        <v>10500</v>
      </c>
      <c r="P90" s="2">
        <v>11340</v>
      </c>
      <c r="Q90" s="4">
        <f>Table1[[#This Row],[Unit Price without SST]]*Table1[[#This Row],[No of Unit]]</f>
        <v>21000</v>
      </c>
      <c r="R90" s="5">
        <f>Table1[[#This Row],[Unit Price with SST 8%]]*Table1[[#This Row],[No of Unit]]</f>
        <v>22680</v>
      </c>
      <c r="S90" s="3">
        <f>Table1[[#This Row],[Total Price with SST 8%]]-Table1[[#This Row],[Total Price without SST]]</f>
        <v>1680</v>
      </c>
      <c r="U90" s="5">
        <f>Table1[[#This Row],[Total Price with SST 8%]]-(Table1[[#This Row],[Total Price with SST 8%]]*Table1[[#This Row],[Discount %]]/100)</f>
        <v>22680</v>
      </c>
      <c r="V90" s="5" t="s">
        <v>33</v>
      </c>
      <c r="W90" s="5"/>
      <c r="X90" s="5"/>
      <c r="Y90" s="1" t="s">
        <v>238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ht="15" customHeight="1">
      <c r="A91" s="1">
        <v>90</v>
      </c>
      <c r="B91" s="31">
        <v>46064</v>
      </c>
      <c r="C91" s="15" t="s">
        <v>25</v>
      </c>
      <c r="D91" s="1" t="s">
        <v>25</v>
      </c>
      <c r="E91" s="81" t="s">
        <v>313</v>
      </c>
      <c r="F91" s="1" t="s">
        <v>36</v>
      </c>
      <c r="G91" s="6" t="s">
        <v>314</v>
      </c>
      <c r="H91" s="1" t="s">
        <v>194</v>
      </c>
      <c r="I91" s="1" t="s">
        <v>315</v>
      </c>
      <c r="J91" s="1" t="s">
        <v>316</v>
      </c>
      <c r="M91" s="1">
        <v>1</v>
      </c>
      <c r="N91" s="1">
        <v>25</v>
      </c>
      <c r="O91" s="4">
        <f>Table1[[#This Row],[Unit Price with SST 8%]]/1.08</f>
        <v>420</v>
      </c>
      <c r="P91" s="2">
        <f>420*Table1[[#This Row],[Duration - Days]]*1.08</f>
        <v>453.6</v>
      </c>
      <c r="Q91" s="4">
        <f>Table1[[#This Row],[Unit Price without SST]]*Table1[[#This Row],[No of Unit]]</f>
        <v>10500</v>
      </c>
      <c r="R91" s="5">
        <f>Table1[[#This Row],[Unit Price with SST 8%]]*Table1[[#This Row],[No of Unit]]</f>
        <v>11340</v>
      </c>
      <c r="S91" s="3">
        <f>Table1[[#This Row],[Total Price with SST 8%]]-Table1[[#This Row],[Total Price without SST]]</f>
        <v>840</v>
      </c>
      <c r="U91" s="5">
        <f>Table1[[#This Row],[Total Price with SST 8%]]-(Table1[[#This Row],[Total Price with SST 8%]]*Table1[[#This Row],[Discount %]]/100)</f>
        <v>11340</v>
      </c>
      <c r="V91" s="5" t="s">
        <v>33</v>
      </c>
      <c r="W91" s="5"/>
      <c r="X91" s="5"/>
      <c r="Y91" s="1" t="s">
        <v>194</v>
      </c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</row>
    <row r="92" spans="1:49" ht="15" customHeight="1">
      <c r="A92" s="1">
        <v>91</v>
      </c>
      <c r="B92" s="31">
        <v>46064</v>
      </c>
      <c r="C92" s="15" t="s">
        <v>25</v>
      </c>
      <c r="D92" s="1" t="s">
        <v>25</v>
      </c>
      <c r="E92" s="81" t="s">
        <v>317</v>
      </c>
      <c r="F92" s="1" t="s">
        <v>36</v>
      </c>
      <c r="G92" s="1" t="s">
        <v>318</v>
      </c>
      <c r="H92" s="1" t="s">
        <v>194</v>
      </c>
      <c r="I92" s="1" t="s">
        <v>319</v>
      </c>
      <c r="J92" s="1" t="s">
        <v>320</v>
      </c>
      <c r="M92" s="1">
        <v>6</v>
      </c>
      <c r="N92" s="1">
        <v>30</v>
      </c>
      <c r="O92" s="4">
        <f>Table1[[#This Row],[Unit Price with SST 8%]]/1.08</f>
        <v>1543.2037037037037</v>
      </c>
      <c r="P92" s="2">
        <v>1666.66</v>
      </c>
      <c r="Q92" s="4">
        <f>Table1[[#This Row],[Unit Price without SST]]*Table1[[#This Row],[No of Unit]]</f>
        <v>46296.111111111109</v>
      </c>
      <c r="R92" s="5">
        <f>Table1[[#This Row],[Unit Price with SST 8%]]*Table1[[#This Row],[No of Unit]]</f>
        <v>49999.8</v>
      </c>
      <c r="S92" s="3">
        <f>Table1[[#This Row],[Total Price with SST 8%]]-Table1[[#This Row],[Total Price without SST]]</f>
        <v>3703.6888888888934</v>
      </c>
      <c r="U92" s="5">
        <f>Table1[[#This Row],[Total Price with SST 8%]]-(Table1[[#This Row],[Total Price with SST 8%]]*Table1[[#This Row],[Discount %]]/100)</f>
        <v>49999.8</v>
      </c>
      <c r="V92" s="5" t="s">
        <v>300</v>
      </c>
      <c r="W92" s="5"/>
      <c r="X92" s="5"/>
      <c r="Y92" s="1" t="s">
        <v>194</v>
      </c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</row>
    <row r="93" spans="1:49" ht="15" customHeight="1">
      <c r="A93" s="1">
        <v>92</v>
      </c>
      <c r="B93" s="31">
        <v>46066</v>
      </c>
      <c r="C93" s="1" t="s">
        <v>200</v>
      </c>
      <c r="D93" s="1" t="s">
        <v>91</v>
      </c>
      <c r="E93" s="81" t="s">
        <v>321</v>
      </c>
      <c r="F93" s="1" t="s">
        <v>202</v>
      </c>
      <c r="G93" s="1" t="s">
        <v>322</v>
      </c>
      <c r="H93" s="1" t="s">
        <v>194</v>
      </c>
      <c r="I93" s="1" t="s">
        <v>323</v>
      </c>
      <c r="J93" s="1" t="s">
        <v>324</v>
      </c>
      <c r="M93" s="1">
        <v>0.5</v>
      </c>
      <c r="N93" s="1">
        <v>1</v>
      </c>
      <c r="O93" s="4">
        <f>Table1[[#This Row],[Unit Price with SST 8%]]/1</f>
        <v>2300</v>
      </c>
      <c r="P93" s="2">
        <f>2000+300</f>
        <v>2300</v>
      </c>
      <c r="Q93" s="4">
        <f>Table1[[#This Row],[Unit Price without SST]]*Table1[[#This Row],[No of Unit]]</f>
        <v>2300</v>
      </c>
      <c r="R93" s="5">
        <f>Table1[[#This Row],[Unit Price with SST 8%]]*Table1[[#This Row],[No of Unit]]</f>
        <v>2300</v>
      </c>
      <c r="S93" s="3">
        <f>Table1[[#This Row],[Total Price with SST 8%]]-Table1[[#This Row],[Total Price without SST]]</f>
        <v>0</v>
      </c>
      <c r="U93" s="5">
        <f>Table1[[#This Row],[Total Price with SST 8%]]-(Table1[[#This Row],[Total Price with SST 8%]]*Table1[[#This Row],[Discount %]]/100)</f>
        <v>2300</v>
      </c>
      <c r="V93" s="5" t="s">
        <v>198</v>
      </c>
      <c r="W93" s="5" t="s">
        <v>81</v>
      </c>
      <c r="X93" s="5" t="s">
        <v>199</v>
      </c>
      <c r="Y93" s="1" t="s">
        <v>194</v>
      </c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</row>
    <row r="94" spans="1:49" ht="15" customHeight="1">
      <c r="A94" s="1">
        <v>93</v>
      </c>
      <c r="B94" s="31">
        <v>46072</v>
      </c>
      <c r="C94" s="15" t="s">
        <v>25</v>
      </c>
      <c r="D94" s="1" t="s">
        <v>25</v>
      </c>
      <c r="E94" s="81" t="s">
        <v>325</v>
      </c>
      <c r="F94" s="1" t="s">
        <v>27</v>
      </c>
      <c r="G94" s="1" t="s">
        <v>229</v>
      </c>
      <c r="H94" s="1" t="s">
        <v>194</v>
      </c>
      <c r="I94" s="1" t="s">
        <v>326</v>
      </c>
      <c r="J94" s="1" t="s">
        <v>327</v>
      </c>
      <c r="M94" s="1">
        <v>5</v>
      </c>
      <c r="N94" s="1">
        <v>3</v>
      </c>
      <c r="O94" s="4">
        <f>Table1[[#This Row],[Unit Price with SST 8%]]/1.08</f>
        <v>7000</v>
      </c>
      <c r="P94" s="2">
        <f>7000*1.08</f>
        <v>7560.0000000000009</v>
      </c>
      <c r="Q94" s="4">
        <f>Table1[[#This Row],[Unit Price without SST]]*Table1[[#This Row],[No of Unit]]</f>
        <v>21000</v>
      </c>
      <c r="R94" s="5">
        <f>Table1[[#This Row],[Unit Price with SST 8%]]*Table1[[#This Row],[No of Unit]]</f>
        <v>22680.000000000004</v>
      </c>
      <c r="S94" s="3">
        <f>Table1[[#This Row],[Total Price with SST 8%]]-Table1[[#This Row],[Total Price without SST]]</f>
        <v>1680.0000000000036</v>
      </c>
      <c r="T94" s="1">
        <v>33.333329999999997</v>
      </c>
      <c r="U94" s="5">
        <f>Table1[[#This Row],[Total Price with SST 8%]]-(Table1[[#This Row],[Total Price with SST 8%]]*Table1[[#This Row],[Discount %]]/100)</f>
        <v>15120.000756000003</v>
      </c>
      <c r="V94" s="5" t="s">
        <v>33</v>
      </c>
      <c r="W94" s="5" t="s">
        <v>81</v>
      </c>
      <c r="X94" s="5" t="s">
        <v>199</v>
      </c>
      <c r="Y94" s="1" t="s">
        <v>194</v>
      </c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</row>
    <row r="95" spans="1:49" ht="15" customHeight="1">
      <c r="A95" s="1">
        <v>94</v>
      </c>
      <c r="B95" s="31">
        <v>46072</v>
      </c>
      <c r="C95" s="15" t="s">
        <v>25</v>
      </c>
      <c r="D95" s="1" t="s">
        <v>25</v>
      </c>
      <c r="E95" s="81" t="s">
        <v>328</v>
      </c>
      <c r="F95" s="1" t="s">
        <v>27</v>
      </c>
      <c r="G95" s="1" t="s">
        <v>229</v>
      </c>
      <c r="H95" s="1" t="s">
        <v>194</v>
      </c>
      <c r="I95" s="1" t="s">
        <v>226</v>
      </c>
      <c r="J95" s="1" t="s">
        <v>327</v>
      </c>
      <c r="M95" s="1">
        <v>2</v>
      </c>
      <c r="N95" s="1">
        <v>2</v>
      </c>
      <c r="O95" s="4">
        <f>Table1[[#This Row],[Unit Price with SST 8%]]/1.08</f>
        <v>1990.0000000000002</v>
      </c>
      <c r="P95" s="2">
        <f>1990*1.08</f>
        <v>2149.2000000000003</v>
      </c>
      <c r="Q95" s="4">
        <f>Table1[[#This Row],[Unit Price without SST]]*Table1[[#This Row],[No of Unit]]</f>
        <v>3980.0000000000005</v>
      </c>
      <c r="R95" s="5">
        <f>Table1[[#This Row],[Unit Price with SST 8%]]*Table1[[#This Row],[No of Unit]]</f>
        <v>4298.4000000000005</v>
      </c>
      <c r="S95" s="3">
        <f>Table1[[#This Row],[Total Price with SST 8%]]-Table1[[#This Row],[Total Price without SST]]</f>
        <v>318.40000000000009</v>
      </c>
      <c r="T95" s="1">
        <v>50</v>
      </c>
      <c r="U95" s="5">
        <f>Table1[[#This Row],[Total Price with SST 8%]]-(Table1[[#This Row],[Total Price with SST 8%]]*Table1[[#This Row],[Discount %]]/100)</f>
        <v>2149.2000000000003</v>
      </c>
      <c r="V95" s="5" t="s">
        <v>33</v>
      </c>
      <c r="W95" s="5"/>
      <c r="X95" s="5"/>
      <c r="Y95" s="1" t="s">
        <v>194</v>
      </c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</row>
    <row r="96" spans="1:49" s="41" customFormat="1" ht="15" customHeight="1">
      <c r="A96" s="1">
        <v>95</v>
      </c>
      <c r="B96" s="31">
        <v>46072</v>
      </c>
      <c r="C96" s="15" t="s">
        <v>25</v>
      </c>
      <c r="D96" s="41" t="s">
        <v>25</v>
      </c>
      <c r="E96" s="81" t="s">
        <v>329</v>
      </c>
      <c r="F96" s="1" t="s">
        <v>36</v>
      </c>
      <c r="G96" s="1" t="s">
        <v>229</v>
      </c>
      <c r="H96" s="1" t="s">
        <v>194</v>
      </c>
      <c r="I96" s="1" t="s">
        <v>330</v>
      </c>
      <c r="J96" s="1" t="s">
        <v>327</v>
      </c>
      <c r="M96" s="1">
        <v>2</v>
      </c>
      <c r="N96" s="1">
        <v>25</v>
      </c>
      <c r="O96" s="4">
        <f>Table1[[#This Row],[Unit Price with SST 8%]]/1.08</f>
        <v>340</v>
      </c>
      <c r="P96" s="2">
        <f>340*1.08</f>
        <v>367.20000000000005</v>
      </c>
      <c r="Q96" s="4">
        <f>Table1[[#This Row],[Unit Price without SST]]*Table1[[#This Row],[No of Unit]]</f>
        <v>8500</v>
      </c>
      <c r="R96" s="46">
        <f>Table1[[#This Row],[Unit Price with SST 8%]]*Table1[[#This Row],[No of Unit]]</f>
        <v>9180.0000000000018</v>
      </c>
      <c r="S96" s="45">
        <f>Table1[[#This Row],[Total Price with SST 8%]]-Table1[[#This Row],[Total Price without SST]]</f>
        <v>680.00000000000182</v>
      </c>
      <c r="T96" s="41">
        <v>5.8823499999999997</v>
      </c>
      <c r="U96" s="46">
        <f>Table1[[#This Row],[Total Price with SST 8%]]-(Table1[[#This Row],[Total Price with SST 8%]]*Table1[[#This Row],[Discount %]]/100)</f>
        <v>8640.0002700000023</v>
      </c>
      <c r="V96" s="46" t="s">
        <v>198</v>
      </c>
      <c r="W96" s="46" t="s">
        <v>331</v>
      </c>
      <c r="X96" s="46" t="s">
        <v>199</v>
      </c>
      <c r="Y96" s="41" t="s">
        <v>194</v>
      </c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</row>
    <row r="97" spans="1:49" ht="15" customHeight="1">
      <c r="A97" s="1">
        <v>96</v>
      </c>
      <c r="B97" s="31">
        <v>46072</v>
      </c>
      <c r="C97" s="15" t="s">
        <v>25</v>
      </c>
      <c r="D97" s="15" t="s">
        <v>25</v>
      </c>
      <c r="E97" s="15" t="s">
        <v>332</v>
      </c>
      <c r="F97" s="15" t="s">
        <v>36</v>
      </c>
      <c r="G97" s="15" t="s">
        <v>333</v>
      </c>
      <c r="H97" s="15" t="s">
        <v>79</v>
      </c>
      <c r="I97" s="15" t="s">
        <v>326</v>
      </c>
      <c r="J97" s="15" t="s">
        <v>182</v>
      </c>
      <c r="K97" s="15"/>
      <c r="L97" s="15"/>
      <c r="M97" s="15">
        <v>5</v>
      </c>
      <c r="N97" s="15">
        <v>10</v>
      </c>
      <c r="O97" s="16">
        <f>Table1[[#This Row],[Unit Price with SST 8%]]/1.08</f>
        <v>4628.7037037037035</v>
      </c>
      <c r="P97" s="17">
        <v>4999</v>
      </c>
      <c r="Q97" s="16">
        <f>Table1[[#This Row],[Unit Price without SST]]*Table1[[#This Row],[No of Unit]]</f>
        <v>46287.037037037036</v>
      </c>
      <c r="R97" s="18">
        <f>Table1[[#This Row],[Unit Price with SST 8%]]*Table1[[#This Row],[No of Unit]]</f>
        <v>49990</v>
      </c>
      <c r="S97" s="19">
        <f>Table1[[#This Row],[Total Price with SST 8%]]-Table1[[#This Row],[Total Price without SST]]</f>
        <v>3702.9629629629635</v>
      </c>
      <c r="T97" s="15"/>
      <c r="U97" s="18">
        <f>Table1[[#This Row],[Total Price with SST 8%]]-(Table1[[#This Row],[Total Price with SST 8%]]*Table1[[#This Row],[Discount %]]/100)</f>
        <v>49990</v>
      </c>
      <c r="V97" s="5" t="s">
        <v>33</v>
      </c>
      <c r="W97" s="5"/>
      <c r="X97" s="5"/>
      <c r="Y97" s="1" t="s">
        <v>194</v>
      </c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</row>
    <row r="98" spans="1:49" ht="15" customHeight="1">
      <c r="A98" s="1">
        <v>97</v>
      </c>
      <c r="B98" s="31">
        <v>46073</v>
      </c>
      <c r="C98" s="1" t="s">
        <v>25</v>
      </c>
      <c r="D98" s="1" t="s">
        <v>25</v>
      </c>
      <c r="E98" s="81" t="s">
        <v>334</v>
      </c>
      <c r="F98" s="1" t="s">
        <v>36</v>
      </c>
      <c r="G98" s="1" t="s">
        <v>335</v>
      </c>
      <c r="H98" s="1" t="s">
        <v>194</v>
      </c>
      <c r="I98" s="1" t="s">
        <v>226</v>
      </c>
      <c r="J98" s="1" t="s">
        <v>336</v>
      </c>
      <c r="M98" s="1">
        <v>2</v>
      </c>
      <c r="N98" s="1">
        <v>1</v>
      </c>
      <c r="O98" s="4">
        <f>Table1[[#This Row],[Unit Price with SST 8%]]/1.08</f>
        <v>19444.444444444442</v>
      </c>
      <c r="P98" s="2">
        <f>21000</f>
        <v>21000</v>
      </c>
      <c r="Q98" s="4">
        <f>Table1[[#This Row],[Unit Price without SST]]*Table1[[#This Row],[No of Unit]]</f>
        <v>19444.444444444442</v>
      </c>
      <c r="R98" s="5">
        <f>Table1[[#This Row],[Unit Price with SST 8%]]*Table1[[#This Row],[No of Unit]]</f>
        <v>21000</v>
      </c>
      <c r="S98" s="3">
        <f>Table1[[#This Row],[Total Price with SST 8%]]-Table1[[#This Row],[Total Price without SST]]</f>
        <v>1555.5555555555584</v>
      </c>
      <c r="U98" s="5">
        <f>Table1[[#This Row],[Total Price with SST 8%]]-(Table1[[#This Row],[Total Price with SST 8%]]*Table1[[#This Row],[Discount %]]/100)</f>
        <v>21000</v>
      </c>
      <c r="V98" s="5" t="s">
        <v>33</v>
      </c>
      <c r="W98" s="5"/>
      <c r="X98" s="5"/>
      <c r="Y98" s="1" t="s">
        <v>194</v>
      </c>
    </row>
    <row r="99" spans="1:49" s="36" customFormat="1" ht="26">
      <c r="A99" s="1">
        <v>98</v>
      </c>
      <c r="B99" s="31">
        <v>46076</v>
      </c>
      <c r="C99" s="1" t="s">
        <v>25</v>
      </c>
      <c r="D99" s="36" t="s">
        <v>25</v>
      </c>
      <c r="E99" s="77" t="s">
        <v>337</v>
      </c>
      <c r="F99" s="1" t="s">
        <v>36</v>
      </c>
      <c r="G99" s="6" t="s">
        <v>338</v>
      </c>
      <c r="H99" s="1" t="s">
        <v>235</v>
      </c>
      <c r="I99" s="1" t="s">
        <v>310</v>
      </c>
      <c r="J99" s="1" t="s">
        <v>270</v>
      </c>
      <c r="M99" s="1">
        <v>2</v>
      </c>
      <c r="N99" s="1">
        <v>2</v>
      </c>
      <c r="O99" s="4">
        <v>10500</v>
      </c>
      <c r="P99" s="2">
        <v>11340</v>
      </c>
      <c r="Q99" s="4">
        <f>Table1[[#This Row],[Unit Price without SST]]*Table1[[#This Row],[No of Unit]]</f>
        <v>21000</v>
      </c>
      <c r="R99" s="5">
        <f>Table1[[#This Row],[Unit Price with SST 8%]]*Table1[[#This Row],[No of Unit]]</f>
        <v>22680</v>
      </c>
      <c r="S99" s="3">
        <f>Table1[[#This Row],[Total Price with SST 8%]]-Table1[[#This Row],[Total Price without SST]]</f>
        <v>1680</v>
      </c>
      <c r="T99" s="1"/>
      <c r="U99" s="5">
        <f>Table1[[#This Row],[Total Price with SST 8%]]-(Table1[[#This Row],[Total Price with SST 8%]]*Table1[[#This Row],[Discount %]]/100)</f>
        <v>22680</v>
      </c>
      <c r="V99" s="5" t="s">
        <v>33</v>
      </c>
      <c r="W99" s="5"/>
      <c r="X99" s="5"/>
      <c r="Y99" s="1" t="s">
        <v>298</v>
      </c>
    </row>
    <row r="100" spans="1:49" s="36" customFormat="1" ht="26">
      <c r="A100" s="1">
        <v>99</v>
      </c>
      <c r="B100" s="31">
        <v>46076</v>
      </c>
      <c r="C100" s="1" t="s">
        <v>25</v>
      </c>
      <c r="D100" s="36" t="s">
        <v>25</v>
      </c>
      <c r="E100" s="81" t="s">
        <v>339</v>
      </c>
      <c r="F100" s="1" t="s">
        <v>36</v>
      </c>
      <c r="G100" s="6" t="s">
        <v>338</v>
      </c>
      <c r="H100" s="1" t="s">
        <v>235</v>
      </c>
      <c r="I100" s="1" t="s">
        <v>312</v>
      </c>
      <c r="J100" s="1" t="s">
        <v>270</v>
      </c>
      <c r="M100" s="1">
        <v>2</v>
      </c>
      <c r="N100" s="1">
        <v>2</v>
      </c>
      <c r="O100" s="4">
        <v>10500</v>
      </c>
      <c r="P100" s="2">
        <v>11340</v>
      </c>
      <c r="Q100" s="4">
        <f>Table1[[#This Row],[Unit Price without SST]]*Table1[[#This Row],[No of Unit]]</f>
        <v>21000</v>
      </c>
      <c r="R100" s="5">
        <f>Table1[[#This Row],[Unit Price with SST 8%]]*Table1[[#This Row],[No of Unit]]</f>
        <v>22680</v>
      </c>
      <c r="S100" s="3">
        <f>Table1[[#This Row],[Total Price with SST 8%]]-Table1[[#This Row],[Total Price without SST]]</f>
        <v>1680</v>
      </c>
      <c r="T100" s="1"/>
      <c r="U100" s="5">
        <f>Table1[[#This Row],[Total Price with SST 8%]]-(Table1[[#This Row],[Total Price with SST 8%]]*Table1[[#This Row],[Discount %]]/100)</f>
        <v>22680</v>
      </c>
      <c r="V100" s="5" t="s">
        <v>33</v>
      </c>
      <c r="W100" s="5"/>
      <c r="X100" s="5"/>
      <c r="Y100" s="1" t="s">
        <v>298</v>
      </c>
    </row>
    <row r="101" spans="1:49" ht="15" customHeight="1">
      <c r="A101" s="1">
        <v>100</v>
      </c>
      <c r="B101" s="37">
        <v>46076</v>
      </c>
      <c r="C101" s="15" t="s">
        <v>25</v>
      </c>
      <c r="D101" s="15" t="s">
        <v>25</v>
      </c>
      <c r="E101" s="15" t="s">
        <v>313</v>
      </c>
      <c r="F101" s="15" t="s">
        <v>36</v>
      </c>
      <c r="G101" s="15" t="s">
        <v>141</v>
      </c>
      <c r="H101" s="1" t="s">
        <v>79</v>
      </c>
      <c r="I101" s="15" t="s">
        <v>340</v>
      </c>
      <c r="J101" s="15" t="s">
        <v>341</v>
      </c>
      <c r="M101" s="1">
        <v>2</v>
      </c>
      <c r="N101" s="1">
        <v>20</v>
      </c>
      <c r="O101" s="4">
        <f>Table1[[#This Row],[Unit Price with SST 8%]]/1.08</f>
        <v>787.03703703703695</v>
      </c>
      <c r="P101" s="2">
        <v>850</v>
      </c>
      <c r="Q101" s="4">
        <f>Table1[[#This Row],[Unit Price without SST]]*Table1[[#This Row],[No of Unit]]*Table1[[#This Row],[Duration - Days]]</f>
        <v>31481.481481481478</v>
      </c>
      <c r="R101" s="5">
        <f>Table1[[#This Row],[Unit Price with SST 8%]]*Table1[[#This Row],[No of Unit]]*Table1[[#This Row],[Duration - Days]]</f>
        <v>34000</v>
      </c>
      <c r="S101" s="3">
        <f>Table1[[#This Row],[Total Price with SST 8%]]-Table1[[#This Row],[Total Price without SST]]</f>
        <v>2518.5185185185219</v>
      </c>
      <c r="U101" s="5">
        <f>Table1[[#This Row],[Total Price with SST 8%]]-(Table1[[#This Row],[Total Price with SST 8%]]*Table1[[#This Row],[Discount %]]/100)</f>
        <v>34000</v>
      </c>
      <c r="V101" s="5" t="s">
        <v>33</v>
      </c>
      <c r="W101" s="5"/>
      <c r="X101" s="5"/>
      <c r="Y101" s="1" t="s">
        <v>53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t="15" customHeight="1">
      <c r="A102" s="1">
        <v>101</v>
      </c>
      <c r="B102" s="37">
        <v>46076</v>
      </c>
      <c r="C102" s="15" t="s">
        <v>25</v>
      </c>
      <c r="D102" s="15" t="s">
        <v>25</v>
      </c>
      <c r="E102" s="15" t="s">
        <v>342</v>
      </c>
      <c r="F102" s="15" t="s">
        <v>36</v>
      </c>
      <c r="G102" s="15" t="s">
        <v>149</v>
      </c>
      <c r="H102" s="1" t="s">
        <v>79</v>
      </c>
      <c r="I102" s="15" t="s">
        <v>343</v>
      </c>
      <c r="J102" s="15" t="s">
        <v>341</v>
      </c>
      <c r="M102" s="1">
        <v>2</v>
      </c>
      <c r="N102" s="1">
        <v>20</v>
      </c>
      <c r="O102" s="4">
        <f>Table1[[#This Row],[Unit Price with SST 8%]]/1.08</f>
        <v>486.11111111111109</v>
      </c>
      <c r="P102" s="17">
        <v>525</v>
      </c>
      <c r="Q102" s="4">
        <f>Table1[[#This Row],[Unit Price without SST]]*Table1[[#This Row],[No of Unit]]*Table1[[#This Row],[Duration - Days]]</f>
        <v>19444.444444444445</v>
      </c>
      <c r="R102" s="5">
        <f>Table1[[#This Row],[Unit Price with SST 8%]]*Table1[[#This Row],[No of Unit]]*Table1[[#This Row],[Duration - Days]]</f>
        <v>21000</v>
      </c>
      <c r="S102" s="3">
        <f>Table1[[#This Row],[Total Price with SST 8%]]-Table1[[#This Row],[Total Price without SST]]</f>
        <v>1555.5555555555547</v>
      </c>
      <c r="U102" s="5">
        <f>Table1[[#This Row],[Total Price with SST 8%]]-(Table1[[#This Row],[Total Price with SST 8%]]*Table1[[#This Row],[Discount %]]/100)</f>
        <v>21000</v>
      </c>
      <c r="V102" s="5" t="s">
        <v>33</v>
      </c>
      <c r="W102" s="5"/>
      <c r="X102" s="5"/>
      <c r="Y102" s="1" t="s">
        <v>53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t="15" customHeight="1">
      <c r="A103" s="1">
        <v>102</v>
      </c>
      <c r="B103" s="37">
        <v>46076</v>
      </c>
      <c r="C103" s="15" t="s">
        <v>25</v>
      </c>
      <c r="D103" s="15" t="s">
        <v>25</v>
      </c>
      <c r="E103" s="15" t="s">
        <v>317</v>
      </c>
      <c r="F103" s="15" t="s">
        <v>36</v>
      </c>
      <c r="G103" s="15" t="s">
        <v>344</v>
      </c>
      <c r="H103" s="1" t="s">
        <v>79</v>
      </c>
      <c r="I103" s="15" t="s">
        <v>343</v>
      </c>
      <c r="J103" s="15" t="s">
        <v>341</v>
      </c>
      <c r="M103" s="1">
        <v>2</v>
      </c>
      <c r="N103" s="1">
        <v>20</v>
      </c>
      <c r="O103" s="4">
        <f>Table1[[#This Row],[Unit Price with SST 8%]]/1.08</f>
        <v>486.11111111111109</v>
      </c>
      <c r="P103" s="17">
        <v>525</v>
      </c>
      <c r="Q103" s="4">
        <f>Table1[[#This Row],[Unit Price without SST]]*Table1[[#This Row],[No of Unit]]*Table1[[#This Row],[Duration - Days]]</f>
        <v>19444.444444444445</v>
      </c>
      <c r="R103" s="5">
        <f>Table1[[#This Row],[Unit Price with SST 8%]]*Table1[[#This Row],[No of Unit]]*Table1[[#This Row],[Duration - Days]]</f>
        <v>21000</v>
      </c>
      <c r="S103" s="3">
        <f>Table1[[#This Row],[Total Price with SST 8%]]-Table1[[#This Row],[Total Price without SST]]</f>
        <v>1555.5555555555547</v>
      </c>
      <c r="U103" s="5">
        <f>Table1[[#This Row],[Total Price with SST 8%]]-(Table1[[#This Row],[Total Price with SST 8%]]*Table1[[#This Row],[Discount %]]/100)</f>
        <v>21000</v>
      </c>
      <c r="V103" s="5" t="s">
        <v>33</v>
      </c>
      <c r="W103" s="5"/>
      <c r="X103" s="5"/>
      <c r="Y103" s="1" t="s">
        <v>53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t="15" customHeight="1">
      <c r="A104" s="1">
        <v>103</v>
      </c>
      <c r="B104" s="37">
        <v>46076</v>
      </c>
      <c r="C104" s="15" t="s">
        <v>25</v>
      </c>
      <c r="D104" s="15" t="s">
        <v>25</v>
      </c>
      <c r="E104" s="15" t="s">
        <v>317</v>
      </c>
      <c r="F104" s="15" t="s">
        <v>36</v>
      </c>
      <c r="G104" s="15" t="s">
        <v>344</v>
      </c>
      <c r="H104" s="1" t="s">
        <v>79</v>
      </c>
      <c r="I104" s="15" t="s">
        <v>345</v>
      </c>
      <c r="J104" s="15" t="s">
        <v>341</v>
      </c>
      <c r="M104" s="15">
        <v>2</v>
      </c>
      <c r="N104" s="15">
        <v>20</v>
      </c>
      <c r="O104" s="4">
        <f>Table1[[#This Row],[Unit Price with SST 8%]]/1.08</f>
        <v>69.444444444444443</v>
      </c>
      <c r="P104" s="17">
        <v>75</v>
      </c>
      <c r="Q104" s="4">
        <f>Table1[[#This Row],[Unit Price without SST]]*Table1[[#This Row],[No of Unit]]*Table1[[#This Row],[Duration - Days]]</f>
        <v>2777.7777777777778</v>
      </c>
      <c r="R104" s="5">
        <f>Table1[[#This Row],[Unit Price with SST 8%]]*Table1[[#This Row],[No of Unit]]*Table1[[#This Row],[Duration - Days]]</f>
        <v>3000</v>
      </c>
      <c r="S104" s="3">
        <f>Table1[[#This Row],[Total Price with SST 8%]]-Table1[[#This Row],[Total Price without SST]]</f>
        <v>222.22222222222217</v>
      </c>
      <c r="U104" s="5">
        <f>Table1[[#This Row],[Total Price with SST 8%]]-(Table1[[#This Row],[Total Price with SST 8%]]*Table1[[#This Row],[Discount %]]/100)</f>
        <v>3000</v>
      </c>
      <c r="V104" s="5" t="s">
        <v>33</v>
      </c>
      <c r="W104" s="5"/>
      <c r="X104" s="5"/>
      <c r="Y104" s="1" t="s">
        <v>53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5" customHeight="1">
      <c r="A105" s="1">
        <v>104</v>
      </c>
      <c r="B105" s="37">
        <v>46076</v>
      </c>
      <c r="C105" s="15" t="s">
        <v>25</v>
      </c>
      <c r="D105" s="15" t="s">
        <v>25</v>
      </c>
      <c r="E105" s="15" t="s">
        <v>317</v>
      </c>
      <c r="F105" s="15" t="s">
        <v>36</v>
      </c>
      <c r="G105" s="15" t="s">
        <v>344</v>
      </c>
      <c r="H105" s="1" t="s">
        <v>79</v>
      </c>
      <c r="I105" s="15" t="s">
        <v>346</v>
      </c>
      <c r="J105" s="15" t="s">
        <v>341</v>
      </c>
      <c r="M105" s="15">
        <v>2</v>
      </c>
      <c r="N105" s="15">
        <v>1</v>
      </c>
      <c r="O105" s="4">
        <f>Table1[[#This Row],[Unit Price with SST 8%]]/1.08</f>
        <v>462.96296296296293</v>
      </c>
      <c r="P105" s="17">
        <v>500</v>
      </c>
      <c r="Q105" s="4">
        <f>Table1[[#This Row],[Unit Price without SST]]*Table1[[#This Row],[No of Unit]]*Table1[[#This Row],[Duration - Days]]</f>
        <v>925.92592592592587</v>
      </c>
      <c r="R105" s="5">
        <f>Table1[[#This Row],[Unit Price with SST 8%]]*Table1[[#This Row],[No of Unit]]*Table1[[#This Row],[Duration - Days]]</f>
        <v>1000</v>
      </c>
      <c r="S105" s="3">
        <f>Table1[[#This Row],[Total Price with SST 8%]]-Table1[[#This Row],[Total Price without SST]]</f>
        <v>74.074074074074133</v>
      </c>
      <c r="U105" s="5">
        <f>Table1[[#This Row],[Total Price with SST 8%]]-(Table1[[#This Row],[Total Price with SST 8%]]*Table1[[#This Row],[Discount %]]/100)</f>
        <v>1000</v>
      </c>
      <c r="V105" s="5"/>
      <c r="W105" s="5"/>
      <c r="X105" s="5"/>
      <c r="Y105" s="1" t="s">
        <v>53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5" customHeight="1">
      <c r="A106" s="1">
        <v>105</v>
      </c>
      <c r="B106" s="31">
        <v>46076</v>
      </c>
      <c r="C106" s="1" t="s">
        <v>25</v>
      </c>
      <c r="D106" s="1" t="s">
        <v>25</v>
      </c>
      <c r="E106" s="1" t="s">
        <v>321</v>
      </c>
      <c r="F106" s="1" t="s">
        <v>36</v>
      </c>
      <c r="G106" s="1" t="s">
        <v>347</v>
      </c>
      <c r="H106" s="1" t="s">
        <v>128</v>
      </c>
      <c r="I106" s="1" t="s">
        <v>236</v>
      </c>
      <c r="J106" s="1" t="s">
        <v>341</v>
      </c>
      <c r="M106" s="1">
        <v>1</v>
      </c>
      <c r="O106" s="4">
        <f>Table1[[#This Row],[Unit Price with SST 8%]]/1.08</f>
        <v>1555.5555555555554</v>
      </c>
      <c r="P106" s="2">
        <v>1680</v>
      </c>
      <c r="Q106" s="4">
        <v>21000</v>
      </c>
      <c r="R106" s="5">
        <f>Table1[[#This Row],[Total Price without SST]]+Table1[[#This Row],[Unit Price with SST 8%]]</f>
        <v>22680</v>
      </c>
      <c r="S106" s="3">
        <f>Table1[[#This Row],[Total Price with SST 8%]]-Table1[[#This Row],[Total Price without SST]]</f>
        <v>1680</v>
      </c>
      <c r="U106" s="5"/>
      <c r="V106" s="5"/>
      <c r="W106" s="5"/>
      <c r="X106" s="5"/>
      <c r="Y106" s="1" t="s">
        <v>128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ht="15" customHeight="1">
      <c r="A107" s="1">
        <v>106</v>
      </c>
      <c r="B107" s="37">
        <v>46078</v>
      </c>
      <c r="C107" s="15" t="s">
        <v>25</v>
      </c>
      <c r="D107" s="15" t="s">
        <v>25</v>
      </c>
      <c r="E107" s="15" t="s">
        <v>348</v>
      </c>
      <c r="F107" s="15" t="s">
        <v>36</v>
      </c>
      <c r="G107" s="15" t="s">
        <v>344</v>
      </c>
      <c r="H107" s="1" t="s">
        <v>79</v>
      </c>
      <c r="I107" s="15" t="s">
        <v>343</v>
      </c>
      <c r="J107" s="15" t="s">
        <v>341</v>
      </c>
      <c r="M107" s="1">
        <v>2</v>
      </c>
      <c r="N107" s="1">
        <v>20</v>
      </c>
      <c r="O107" s="4">
        <f>Table1[[#This Row],[Unit Price with SST 8%]]/1.08</f>
        <v>555.55555555555554</v>
      </c>
      <c r="P107" s="17">
        <v>600</v>
      </c>
      <c r="Q107" s="4">
        <f>Table1[[#This Row],[Unit Price without SST]]*Table1[[#This Row],[No of Unit]]</f>
        <v>11111.111111111111</v>
      </c>
      <c r="R107" s="5">
        <f>Table1[[#This Row],[Unit Price with SST 8%]]*Table1[[#This Row],[No of Unit]]*Table1[[#This Row],[Duration - Days]]</f>
        <v>24000</v>
      </c>
      <c r="S107" s="3">
        <f>Table1[[#This Row],[Total Price with SST 8%]]-Table1[[#This Row],[Total Price without SST]]</f>
        <v>12888.888888888889</v>
      </c>
      <c r="U107" s="5">
        <f>Table1[[#This Row],[Total Price with SST 8%]]-(Table1[[#This Row],[Total Price with SST 8%]]*Table1[[#This Row],[Discount %]]/100)</f>
        <v>24000</v>
      </c>
      <c r="V107" s="5" t="s">
        <v>33</v>
      </c>
      <c r="W107" s="5" t="s">
        <v>81</v>
      </c>
      <c r="X107" s="5"/>
      <c r="Y107" s="1" t="s">
        <v>134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5" customHeight="1">
      <c r="A108" s="1">
        <v>107</v>
      </c>
      <c r="B108" s="37">
        <v>46078</v>
      </c>
      <c r="C108" s="15" t="s">
        <v>25</v>
      </c>
      <c r="D108" s="15" t="s">
        <v>25</v>
      </c>
      <c r="E108" s="81" t="s">
        <v>349</v>
      </c>
      <c r="F108" s="1" t="s">
        <v>36</v>
      </c>
      <c r="G108" s="1" t="s">
        <v>350</v>
      </c>
      <c r="H108" s="1" t="s">
        <v>194</v>
      </c>
      <c r="I108" s="1" t="s">
        <v>351</v>
      </c>
      <c r="J108" s="1" t="s">
        <v>352</v>
      </c>
      <c r="M108" s="1">
        <v>1</v>
      </c>
      <c r="N108" s="1">
        <v>26</v>
      </c>
      <c r="O108" s="4">
        <f>Table1[[#This Row],[Unit Price with SST 8%]]/1.08</f>
        <v>40</v>
      </c>
      <c r="P108" s="2">
        <f>40*1.08</f>
        <v>43.2</v>
      </c>
      <c r="Q108" s="4">
        <f>Table1[[#This Row],[Unit Price without SST]]*Table1[[#This Row],[No of Unit]]</f>
        <v>1040</v>
      </c>
      <c r="R108" s="5">
        <f>Table1[[#This Row],[Unit Price with SST 8%]]*Table1[[#This Row],[No of Unit]]</f>
        <v>1123.2</v>
      </c>
      <c r="S108" s="3">
        <f>Table1[[#This Row],[Total Price with SST 8%]]-Table1[[#This Row],[Total Price without SST]]</f>
        <v>83.200000000000045</v>
      </c>
      <c r="U108" s="5">
        <f>Table1[[#This Row],[Total Price with SST 8%]]-(Table1[[#This Row],[Total Price with SST 8%]]*Table1[[#This Row],[Discount %]]/100)</f>
        <v>1123.2</v>
      </c>
      <c r="V108" s="5" t="s">
        <v>33</v>
      </c>
      <c r="W108" s="5" t="s">
        <v>353</v>
      </c>
      <c r="X108" s="5"/>
      <c r="Y108" s="1" t="s">
        <v>194</v>
      </c>
    </row>
    <row r="109" spans="1:49" ht="15" customHeight="1">
      <c r="A109" s="1">
        <v>108</v>
      </c>
      <c r="B109" s="31">
        <v>46056</v>
      </c>
      <c r="C109" s="1" t="s">
        <v>25</v>
      </c>
      <c r="E109" s="77" t="s">
        <v>354</v>
      </c>
      <c r="F109" s="28" t="s">
        <v>36</v>
      </c>
      <c r="G109" s="1" t="s">
        <v>282</v>
      </c>
      <c r="H109" s="1" t="s">
        <v>79</v>
      </c>
      <c r="I109" s="1" t="s">
        <v>257</v>
      </c>
      <c r="J109" s="1" t="s">
        <v>283</v>
      </c>
      <c r="M109" s="1">
        <v>3</v>
      </c>
      <c r="N109" s="1">
        <v>15</v>
      </c>
      <c r="O109" s="4">
        <f>Table1[[#This Row],[Unit Price with SST 8%]]/1.08</f>
        <v>514.39814814814804</v>
      </c>
      <c r="P109" s="17">
        <v>555.54999999999995</v>
      </c>
      <c r="Q109" s="4">
        <f>Table1[[#This Row],[Unit Price without SST]]*Table1[[#This Row],[No of Unit]]*Table1[[#This Row],[Duration - Days]]</f>
        <v>23147.916666666664</v>
      </c>
      <c r="R109" s="5">
        <f>Table1[[#This Row],[Unit Price with SST 8%]]*Table1[[#This Row],[No of Unit]]*Table1[[#This Row],[Duration - Days]]</f>
        <v>24999.75</v>
      </c>
      <c r="S109" s="3">
        <f>Table1[[#This Row],[Total Price with SST 8%]]-Table1[[#This Row],[Total Price without SST]]</f>
        <v>1851.8333333333358</v>
      </c>
      <c r="U109" s="5">
        <f>Table1[[#This Row],[Total Price with SST 8%]]-(Table1[[#This Row],[Total Price with SST 8%]]*Table1[[#This Row],[Discount %]]/100)</f>
        <v>24999.75</v>
      </c>
      <c r="V109" s="5" t="s">
        <v>33</v>
      </c>
      <c r="W109" s="5" t="s">
        <v>81</v>
      </c>
      <c r="X109" s="5"/>
      <c r="Y109" s="1" t="s">
        <v>134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ht="15" customHeight="1">
      <c r="A110" s="1">
        <v>109</v>
      </c>
      <c r="B110" s="31">
        <v>46083</v>
      </c>
      <c r="C110" s="1" t="s">
        <v>25</v>
      </c>
      <c r="E110" s="81" t="s">
        <v>355</v>
      </c>
      <c r="F110" s="1" t="s">
        <v>27</v>
      </c>
      <c r="G110" s="1" t="s">
        <v>356</v>
      </c>
      <c r="H110" s="1" t="s">
        <v>79</v>
      </c>
      <c r="I110" s="1" t="s">
        <v>226</v>
      </c>
      <c r="J110" s="1" t="s">
        <v>357</v>
      </c>
      <c r="M110" s="1">
        <v>2</v>
      </c>
      <c r="N110" s="1">
        <v>2</v>
      </c>
      <c r="O110" s="4">
        <f>Table1[[#This Row],[Unit Price with SST 8%]]/1.08</f>
        <v>1842.5925925925924</v>
      </c>
      <c r="P110" s="2">
        <v>1990</v>
      </c>
      <c r="Q110" s="4">
        <f>Table1[[#This Row],[Unit Price without SST]]*Table1[[#This Row],[No of Unit]]*Table1[[#This Row],[Duration - Days]]</f>
        <v>7370.3703703703695</v>
      </c>
      <c r="R110" s="5">
        <f>Table1[[#This Row],[Unit Price with SST 8%]]*Table1[[#This Row],[No of Unit]]*Table1[[#This Row],[Duration - Days]]</f>
        <v>7960</v>
      </c>
      <c r="S110" s="3">
        <f>Table1[[#This Row],[Total Price with SST 8%]]-Table1[[#This Row],[Total Price without SST]]</f>
        <v>589.62962962963047</v>
      </c>
      <c r="U110" s="5">
        <f>Table1[[#This Row],[Total Price with SST 8%]]-(Table1[[#This Row],[Total Price with SST 8%]]*Table1[[#This Row],[Discount %]]/100)</f>
        <v>7960</v>
      </c>
      <c r="V110" s="5"/>
      <c r="W110" s="5"/>
      <c r="X110" s="5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ht="15" customHeight="1">
      <c r="A111" s="1">
        <v>110</v>
      </c>
      <c r="B111" s="56" t="s">
        <v>358</v>
      </c>
      <c r="C111" s="28" t="s">
        <v>25</v>
      </c>
      <c r="D111" s="28"/>
      <c r="E111" s="28" t="s">
        <v>359</v>
      </c>
      <c r="F111" s="28" t="s">
        <v>36</v>
      </c>
      <c r="G111" s="28" t="s">
        <v>282</v>
      </c>
      <c r="H111" s="1" t="s">
        <v>79</v>
      </c>
      <c r="I111" s="15" t="s">
        <v>326</v>
      </c>
      <c r="J111" s="1" t="s">
        <v>360</v>
      </c>
      <c r="M111" s="1">
        <v>2</v>
      </c>
      <c r="N111" s="1">
        <v>20</v>
      </c>
      <c r="O111" s="4">
        <f>5000</f>
        <v>5000</v>
      </c>
      <c r="P111" s="2">
        <f>Table1[[#This Row],[Unit Price without SST]]*1.08</f>
        <v>5400</v>
      </c>
      <c r="Q111" s="4">
        <f>Table1[[#This Row],[Unit Price without SST]]*Table1[[#This Row],[No of Unit]]</f>
        <v>100000</v>
      </c>
      <c r="R111" s="5">
        <f>Table1[[#This Row],[Unit Price with SST 8%]]*Table1[[#This Row],[No of Unit]]</f>
        <v>108000</v>
      </c>
      <c r="S111" s="3">
        <f>Table1[[#This Row],[Total Price without SST]]*0.08</f>
        <v>8000</v>
      </c>
      <c r="U111" s="5">
        <v>108000</v>
      </c>
      <c r="V111" s="5" t="s">
        <v>33</v>
      </c>
      <c r="W111" s="5"/>
      <c r="X111" s="5"/>
      <c r="Y111" s="1" t="s">
        <v>134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ht="15" customHeight="1">
      <c r="A112" s="1">
        <v>111</v>
      </c>
      <c r="B112" s="57">
        <v>46026</v>
      </c>
      <c r="C112" s="28" t="s">
        <v>25</v>
      </c>
      <c r="D112" s="28"/>
      <c r="E112" s="28" t="s">
        <v>361</v>
      </c>
      <c r="F112" s="28" t="s">
        <v>36</v>
      </c>
      <c r="G112" s="28" t="s">
        <v>181</v>
      </c>
      <c r="H112" s="1" t="s">
        <v>79</v>
      </c>
      <c r="I112" s="15" t="s">
        <v>184</v>
      </c>
      <c r="J112" s="1" t="s">
        <v>362</v>
      </c>
      <c r="M112" s="1">
        <v>5</v>
      </c>
      <c r="N112" s="1">
        <v>10</v>
      </c>
      <c r="O112" s="4">
        <v>925.7</v>
      </c>
      <c r="P112" s="2"/>
      <c r="Q112" s="4">
        <f>Table1[[#This Row],[Unit Price without SST]]*Table1[[#This Row],[No of Unit]]*Table1[[#This Row],[Duration - Days]]</f>
        <v>46285</v>
      </c>
      <c r="R112" s="5">
        <v>49987.8</v>
      </c>
      <c r="S112" s="3">
        <v>3702.8</v>
      </c>
      <c r="U112" s="5">
        <f>Table1[[#This Row],[Total Price with SST 8%]]-(Table1[[#This Row],[Total Price with SST 8%]]*Table1[[#This Row],[Discount %]]/100)</f>
        <v>49987.8</v>
      </c>
      <c r="V112" s="5" t="s">
        <v>33</v>
      </c>
      <c r="W112" s="5"/>
      <c r="X112" s="5"/>
      <c r="Y112" s="1" t="s">
        <v>134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ht="15" customHeight="1">
      <c r="A113" s="1">
        <v>112</v>
      </c>
      <c r="B113" s="58">
        <v>46111</v>
      </c>
      <c r="C113" s="28" t="s">
        <v>25</v>
      </c>
      <c r="D113" s="28"/>
      <c r="E113" s="59" t="s">
        <v>363</v>
      </c>
      <c r="F113" s="59" t="s">
        <v>36</v>
      </c>
      <c r="G113" s="59" t="s">
        <v>364</v>
      </c>
      <c r="H113" s="15" t="s">
        <v>365</v>
      </c>
      <c r="I113" s="15" t="s">
        <v>366</v>
      </c>
      <c r="J113" s="15" t="s">
        <v>367</v>
      </c>
      <c r="K113" s="15" t="s">
        <v>367</v>
      </c>
      <c r="L113" s="15" t="s">
        <v>367</v>
      </c>
      <c r="M113" s="15">
        <v>15</v>
      </c>
      <c r="N113" s="15">
        <v>22</v>
      </c>
      <c r="O113" s="16">
        <f>Table1[[#This Row],[Unit Price with SST 8%]]/1.08</f>
        <v>26250</v>
      </c>
      <c r="P113" s="17">
        <f>26250*1.08</f>
        <v>28350.000000000004</v>
      </c>
      <c r="Q113" s="4">
        <f>Table1[[#This Row],[Unit Price without SST]]*Table1[[#This Row],[No of Unit]]</f>
        <v>577500</v>
      </c>
      <c r="R113" s="5">
        <f>Table1[[#This Row],[Unit Price with SST 8%]]*Table1[[#This Row],[No of Unit]]</f>
        <v>623700.00000000012</v>
      </c>
      <c r="S113" s="3">
        <f>Table1[[#This Row],[Total Price with SST 8%]]-Table1[[#This Row],[Total Price without SST]]</f>
        <v>46200.000000000116</v>
      </c>
      <c r="U113" s="5">
        <f>Table1[[#This Row],[Total Price with SST 8%]]-(Table1[[#This Row],[Total Price with SST 8%]]*Table1[[#This Row],[Discount %]]/100)</f>
        <v>623700.00000000012</v>
      </c>
      <c r="V113" s="5" t="s">
        <v>33</v>
      </c>
      <c r="W113" s="5"/>
      <c r="X113" s="5"/>
      <c r="Y113" s="20" t="s">
        <v>368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ht="15" customHeight="1">
      <c r="A114" s="1">
        <v>113</v>
      </c>
      <c r="B114" s="58">
        <v>46111</v>
      </c>
      <c r="C114" s="28" t="s">
        <v>25</v>
      </c>
      <c r="D114" s="28"/>
      <c r="E114" s="59" t="s">
        <v>369</v>
      </c>
      <c r="F114" s="59" t="s">
        <v>36</v>
      </c>
      <c r="G114" s="59" t="s">
        <v>364</v>
      </c>
      <c r="H114" s="15" t="s">
        <v>365</v>
      </c>
      <c r="I114" s="15" t="s">
        <v>370</v>
      </c>
      <c r="J114" s="15" t="s">
        <v>367</v>
      </c>
      <c r="M114" s="15">
        <v>15</v>
      </c>
      <c r="N114" s="15">
        <v>22</v>
      </c>
      <c r="O114" s="16">
        <f>Table1[[#This Row],[Unit Price with SST 8%]]/1.08</f>
        <v>26250</v>
      </c>
      <c r="P114" s="17">
        <f>26250*1.08</f>
        <v>28350.000000000004</v>
      </c>
      <c r="Q114" s="4">
        <f>Table1[[#This Row],[Unit Price without SST]]*Table1[[#This Row],[No of Unit]]</f>
        <v>577500</v>
      </c>
      <c r="R114" s="5">
        <f>Table1[[#This Row],[Unit Price with SST 8%]]*Table1[[#This Row],[No of Unit]]</f>
        <v>623700.00000000012</v>
      </c>
      <c r="S114" s="3">
        <f>Table1[[#This Row],[Total Price with SST 8%]]-Table1[[#This Row],[Total Price without SST]]</f>
        <v>46200.000000000116</v>
      </c>
      <c r="U114" s="5">
        <f>Table1[[#This Row],[Total Price with SST 8%]]-(Table1[[#This Row],[Total Price with SST 8%]]*Table1[[#This Row],[Discount %]]/100)</f>
        <v>623700.00000000012</v>
      </c>
      <c r="V114" s="5" t="s">
        <v>33</v>
      </c>
      <c r="W114" s="5"/>
      <c r="X114" s="5"/>
      <c r="Y114" s="20" t="s">
        <v>368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ht="15" customHeight="1">
      <c r="A115" s="1">
        <v>114</v>
      </c>
      <c r="B115" s="57">
        <v>46114</v>
      </c>
      <c r="C115" s="28" t="s">
        <v>25</v>
      </c>
      <c r="D115" s="28"/>
      <c r="E115" s="59" t="s">
        <v>371</v>
      </c>
      <c r="F115" s="28" t="s">
        <v>27</v>
      </c>
      <c r="G115" s="28" t="s">
        <v>234</v>
      </c>
      <c r="H115" s="1" t="s">
        <v>372</v>
      </c>
      <c r="I115" s="1" t="s">
        <v>226</v>
      </c>
      <c r="J115" s="1" t="s">
        <v>373</v>
      </c>
      <c r="M115" s="1">
        <v>2</v>
      </c>
      <c r="N115" s="1">
        <v>1</v>
      </c>
      <c r="O115" s="4">
        <f>Table1[[#This Row],[Unit Price with SST 8%]]/1.08</f>
        <v>1842.5925925925924</v>
      </c>
      <c r="P115" s="2">
        <v>1990</v>
      </c>
      <c r="Q115" s="4">
        <f>Table1[[#This Row],[Unit Price without SST]]*Table1[[#This Row],[No of Unit]]</f>
        <v>1842.5925925925924</v>
      </c>
      <c r="R115" s="5">
        <f>Table1[[#This Row],[Unit Price with SST 8%]]*Table1[[#This Row],[No of Unit]]</f>
        <v>1990</v>
      </c>
      <c r="S115" s="3">
        <f>Table1[[#This Row],[Total Price with SST 8%]]-Table1[[#This Row],[Total Price without SST]]</f>
        <v>147.40740740740762</v>
      </c>
      <c r="U115" s="5">
        <f>Table1[[#This Row],[Total Price with SST 8%]]-(Table1[[#This Row],[Total Price with SST 8%]]*Table1[[#This Row],[Discount %]]/100)</f>
        <v>1990</v>
      </c>
      <c r="V115" s="5" t="s">
        <v>33</v>
      </c>
      <c r="W115" s="5"/>
      <c r="X115" s="5"/>
      <c r="Y115" s="1" t="s">
        <v>374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ht="15" customHeight="1">
      <c r="A116" s="1">
        <v>115</v>
      </c>
      <c r="B116" s="57">
        <v>46238</v>
      </c>
      <c r="C116" s="28" t="s">
        <v>25</v>
      </c>
      <c r="D116" s="28"/>
      <c r="E116" s="59" t="s">
        <v>371</v>
      </c>
      <c r="F116" s="28" t="s">
        <v>27</v>
      </c>
      <c r="G116" s="28" t="s">
        <v>375</v>
      </c>
      <c r="H116" s="1" t="s">
        <v>79</v>
      </c>
      <c r="I116" s="15" t="s">
        <v>326</v>
      </c>
      <c r="J116" s="1" t="s">
        <v>376</v>
      </c>
      <c r="M116" s="1">
        <v>5</v>
      </c>
      <c r="N116" s="1">
        <v>1</v>
      </c>
      <c r="O116" s="4">
        <f>Table1[[#This Row],[Unit Price with SST 8%]]/1.08</f>
        <v>9722.2222222222208</v>
      </c>
      <c r="P116" s="2">
        <v>10500</v>
      </c>
      <c r="Q116" s="4">
        <f>Table1[[#This Row],[Unit Price without SST]]*Table1[[#This Row],[No of Unit]]</f>
        <v>9722.2222222222208</v>
      </c>
      <c r="R116" s="5">
        <f>Table1[[#This Row],[Unit Price with SST 8%]]*Table1[[#This Row],[No of Unit]]</f>
        <v>10500</v>
      </c>
      <c r="S116" s="3">
        <f>Table1[[#This Row],[Total Price with SST 8%]]-Table1[[#This Row],[Total Price without SST]]</f>
        <v>777.77777777777919</v>
      </c>
      <c r="U116" s="5">
        <f>Table1[[#This Row],[Total Price with SST 8%]]-(Table1[[#This Row],[Total Price with SST 8%]]*Table1[[#This Row],[Discount %]]/100)</f>
        <v>10500</v>
      </c>
      <c r="V116" s="5" t="s">
        <v>33</v>
      </c>
      <c r="W116" s="5"/>
      <c r="X116" s="5"/>
      <c r="Y116" s="1" t="s">
        <v>134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ht="15" customHeight="1">
      <c r="A117" s="1">
        <v>116</v>
      </c>
      <c r="B117" s="57">
        <v>46238</v>
      </c>
      <c r="C117" s="28" t="s">
        <v>25</v>
      </c>
      <c r="D117" s="28"/>
      <c r="E117" s="77" t="s">
        <v>377</v>
      </c>
      <c r="F117" s="28" t="s">
        <v>36</v>
      </c>
      <c r="G117" s="28" t="s">
        <v>378</v>
      </c>
      <c r="H117" s="1" t="s">
        <v>79</v>
      </c>
      <c r="I117" s="1" t="s">
        <v>379</v>
      </c>
      <c r="J117" s="1" t="s">
        <v>380</v>
      </c>
      <c r="M117" s="1">
        <v>2</v>
      </c>
      <c r="N117" s="1">
        <v>1</v>
      </c>
      <c r="O117" s="4">
        <f>Table1[[#This Row],[Unit Price with SST 8%]]/1.08</f>
        <v>0</v>
      </c>
      <c r="P117" s="2"/>
      <c r="Q117" s="4">
        <f>Table1[[#This Row],[Unit Price without SST]]*Table1[[#This Row],[No of Unit]]</f>
        <v>0</v>
      </c>
      <c r="R117" s="5">
        <f>Table1[[#This Row],[Unit Price with SST 8%]]*Table1[[#This Row],[No of Unit]]</f>
        <v>0</v>
      </c>
      <c r="S117" s="3">
        <f>Table1[[#This Row],[Total Price with SST 8%]]-Table1[[#This Row],[Total Price without SST]]</f>
        <v>0</v>
      </c>
      <c r="U117" s="5">
        <v>43800</v>
      </c>
      <c r="V117" s="5" t="s">
        <v>33</v>
      </c>
      <c r="W117" s="5"/>
      <c r="X117" s="5"/>
      <c r="Y117" s="1" t="s">
        <v>134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ht="15" customHeight="1">
      <c r="A118" s="1">
        <v>117</v>
      </c>
      <c r="B118" s="57">
        <v>46121</v>
      </c>
      <c r="C118" s="59" t="s">
        <v>25</v>
      </c>
      <c r="D118" s="28"/>
      <c r="E118" s="77" t="s">
        <v>381</v>
      </c>
      <c r="F118" s="28" t="s">
        <v>27</v>
      </c>
      <c r="G118" s="28" t="s">
        <v>234</v>
      </c>
      <c r="H118" s="1" t="s">
        <v>372</v>
      </c>
      <c r="I118" s="1" t="s">
        <v>226</v>
      </c>
      <c r="J118" s="1" t="s">
        <v>373</v>
      </c>
      <c r="M118" s="1">
        <v>2</v>
      </c>
      <c r="N118" s="1">
        <v>1</v>
      </c>
      <c r="O118" s="4">
        <f>Table1[[#This Row],[Unit Price with SST 8%]]/1.08</f>
        <v>1700</v>
      </c>
      <c r="P118" s="2">
        <v>1836</v>
      </c>
      <c r="Q118" s="4">
        <f>Table1[[#This Row],[Unit Price without SST]]*Table1[[#This Row],[No of Unit]]</f>
        <v>1700</v>
      </c>
      <c r="R118" s="5">
        <f>Table1[[#This Row],[Unit Price with SST 8%]]*Table1[[#This Row],[No of Unit]]</f>
        <v>1836</v>
      </c>
      <c r="S118" s="3">
        <f>Table1[[#This Row],[Total Price with SST 8%]]-Table1[[#This Row],[Total Price without SST]]</f>
        <v>136</v>
      </c>
      <c r="U118" s="5">
        <f>Table1[[#This Row],[Total Price with SST 8%]]-(Table1[[#This Row],[Total Price with SST 8%]]*Table1[[#This Row],[Discount %]]/100)</f>
        <v>1836</v>
      </c>
      <c r="V118" s="5" t="s">
        <v>33</v>
      </c>
      <c r="W118" s="5"/>
      <c r="X118" s="5"/>
      <c r="Y118" s="1" t="s">
        <v>374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ht="15" customHeight="1">
      <c r="A119" s="1">
        <v>118</v>
      </c>
      <c r="B119" s="57">
        <v>46122</v>
      </c>
      <c r="C119" s="28" t="s">
        <v>25</v>
      </c>
      <c r="D119" s="28"/>
      <c r="E119" s="77" t="s">
        <v>382</v>
      </c>
      <c r="F119" s="28" t="s">
        <v>36</v>
      </c>
      <c r="G119" s="28" t="s">
        <v>378</v>
      </c>
      <c r="H119" s="1" t="s">
        <v>215</v>
      </c>
      <c r="I119" s="1" t="s">
        <v>383</v>
      </c>
      <c r="J119" s="1" t="s">
        <v>384</v>
      </c>
      <c r="M119" s="1">
        <v>3</v>
      </c>
      <c r="N119" s="1">
        <v>1</v>
      </c>
      <c r="O119" s="4">
        <v>5000</v>
      </c>
      <c r="P119" s="2">
        <v>5400</v>
      </c>
      <c r="Q119" s="4">
        <f>Table1[[#This Row],[Unit Price without SST]]*Table1[[#This Row],[No of Unit]]</f>
        <v>5000</v>
      </c>
      <c r="R119" s="5">
        <f>Table1[[#This Row],[Unit Price with SST 8%]]*Table1[[#This Row],[No of Unit]]</f>
        <v>5400</v>
      </c>
      <c r="S119" s="3">
        <f>Table1[[#This Row],[Total Price with SST 8%]]-Table1[[#This Row],[Total Price without SST]]</f>
        <v>400</v>
      </c>
      <c r="U119" s="5">
        <f>Table1[[#This Row],[Total Price with SST 8%]]-(Table1[[#This Row],[Total Price with SST 8%]]*Table1[[#This Row],[Discount %]]/100)</f>
        <v>5400</v>
      </c>
      <c r="V119" s="5"/>
      <c r="W119" s="5"/>
      <c r="X119" s="5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ht="15" customHeight="1">
      <c r="A120" s="1">
        <v>119</v>
      </c>
      <c r="B120" s="56" t="s">
        <v>385</v>
      </c>
      <c r="C120" s="28" t="s">
        <v>200</v>
      </c>
      <c r="D120" s="28"/>
      <c r="E120" s="77" t="s">
        <v>386</v>
      </c>
      <c r="F120" s="28"/>
      <c r="G120" s="28" t="s">
        <v>387</v>
      </c>
      <c r="H120" s="1" t="s">
        <v>79</v>
      </c>
      <c r="I120" s="1" t="s">
        <v>388</v>
      </c>
      <c r="J120" s="1" t="s">
        <v>389</v>
      </c>
      <c r="O120" s="4">
        <f>Table1[[#This Row],[Unit Price with SST 8%]]/1.08</f>
        <v>0</v>
      </c>
      <c r="P120" s="2"/>
      <c r="Q120" s="4">
        <f>Table1[[#This Row],[Unit Price without SST]]*Table1[[#This Row],[No of Unit]]</f>
        <v>0</v>
      </c>
      <c r="R120" s="5">
        <f>Table1[[#This Row],[Unit Price with SST 8%]]*Table1[[#This Row],[No of Unit]]</f>
        <v>0</v>
      </c>
      <c r="S120" s="3">
        <f>Table1[[#This Row],[Total Price with SST 8%]]-Table1[[#This Row],[Total Price without SST]]</f>
        <v>0</v>
      </c>
      <c r="U120" s="5">
        <v>117720</v>
      </c>
      <c r="V120" s="5" t="s">
        <v>33</v>
      </c>
      <c r="W120" s="5"/>
      <c r="X120" s="5"/>
      <c r="Y120" s="1" t="s">
        <v>134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ht="15" customHeight="1">
      <c r="A121" s="1">
        <v>120</v>
      </c>
      <c r="B121" s="57">
        <v>46127</v>
      </c>
      <c r="C121" s="59" t="s">
        <v>25</v>
      </c>
      <c r="D121" s="28" t="s">
        <v>25</v>
      </c>
      <c r="E121" s="77" t="s">
        <v>390</v>
      </c>
      <c r="F121" s="28" t="s">
        <v>27</v>
      </c>
      <c r="G121" s="60" t="s">
        <v>314</v>
      </c>
      <c r="H121" s="1" t="s">
        <v>194</v>
      </c>
      <c r="I121" s="1" t="s">
        <v>230</v>
      </c>
      <c r="J121" s="1" t="s">
        <v>391</v>
      </c>
      <c r="M121" s="1">
        <v>5</v>
      </c>
      <c r="N121" s="1">
        <v>1</v>
      </c>
      <c r="O121" s="4">
        <f>Table1[[#This Row],[Unit Price with SST 8%]]/1.08</f>
        <v>8101.8518518518513</v>
      </c>
      <c r="P121" s="2">
        <v>8750</v>
      </c>
      <c r="Q121" s="4">
        <f>Table1[[#This Row],[Unit Price without SST]]*Table1[[#This Row],[No of Unit]]</f>
        <v>8101.8518518518513</v>
      </c>
      <c r="R121" s="5">
        <f>Table1[[#This Row],[Unit Price with SST 8%]]*Table1[[#This Row],[No of Unit]]</f>
        <v>8750</v>
      </c>
      <c r="S121" s="3">
        <f>Table1[[#This Row],[Total Price with SST 8%]]-Table1[[#This Row],[Total Price without SST]]</f>
        <v>648.14814814814872</v>
      </c>
      <c r="U121" s="5">
        <f>Table1[[#This Row],[Total Price with SST 8%]]-(Table1[[#This Row],[Total Price with SST 8%]]*Table1[[#This Row],[Discount %]]/100)</f>
        <v>8750</v>
      </c>
      <c r="V121" s="5" t="s">
        <v>33</v>
      </c>
      <c r="W121" s="5" t="s">
        <v>81</v>
      </c>
      <c r="X121" s="5" t="s">
        <v>199</v>
      </c>
      <c r="Y121" s="1" t="s">
        <v>194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ht="15" customHeight="1">
      <c r="A122" s="1">
        <v>121</v>
      </c>
      <c r="B122" s="58">
        <v>46127</v>
      </c>
      <c r="C122" s="28" t="s">
        <v>25</v>
      </c>
      <c r="D122" s="28"/>
      <c r="E122" s="59" t="s">
        <v>392</v>
      </c>
      <c r="F122" s="59" t="s">
        <v>36</v>
      </c>
      <c r="G122" s="59" t="s">
        <v>364</v>
      </c>
      <c r="H122" s="15" t="s">
        <v>365</v>
      </c>
      <c r="I122" s="15" t="s">
        <v>393</v>
      </c>
      <c r="J122" s="15" t="s">
        <v>367</v>
      </c>
      <c r="O122" s="4">
        <f>Table1[[#This Row],[Unit Price with SST 8%]]/1.08</f>
        <v>0</v>
      </c>
      <c r="P122" s="2"/>
      <c r="Q122" s="4">
        <f>Table1[[#This Row],[Unit Price without SST]]*Table1[[#This Row],[No of Unit]]</f>
        <v>0</v>
      </c>
      <c r="R122" s="5">
        <f>Table1[[#This Row],[Unit Price with SST 8%]]*Table1[[#This Row],[No of Unit]]</f>
        <v>0</v>
      </c>
      <c r="S122" s="3">
        <f>Table1[[#This Row],[Total Price with SST 8%]]-Table1[[#This Row],[Total Price without SST]]</f>
        <v>0</v>
      </c>
      <c r="U122" s="5">
        <f>Table1[[#This Row],[Total Price with SST 8%]]-(Table1[[#This Row],[Total Price with SST 8%]]*Table1[[#This Row],[Discount %]]/100)</f>
        <v>0</v>
      </c>
      <c r="V122" s="5"/>
      <c r="W122" s="5"/>
      <c r="X122" s="5"/>
      <c r="Y122" s="20" t="s">
        <v>368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ht="15" customHeight="1">
      <c r="A123" s="1">
        <v>122</v>
      </c>
      <c r="B123" s="58">
        <v>46127</v>
      </c>
      <c r="C123" s="28" t="s">
        <v>25</v>
      </c>
      <c r="D123" s="28"/>
      <c r="E123" s="59" t="s">
        <v>394</v>
      </c>
      <c r="F123" s="59" t="s">
        <v>36</v>
      </c>
      <c r="G123" s="59" t="s">
        <v>364</v>
      </c>
      <c r="H123" s="15" t="s">
        <v>365</v>
      </c>
      <c r="I123" s="15" t="s">
        <v>395</v>
      </c>
      <c r="J123" s="15" t="s">
        <v>367</v>
      </c>
      <c r="O123" s="4">
        <f>Table1[[#This Row],[Unit Price with SST 8%]]/1.08</f>
        <v>0</v>
      </c>
      <c r="P123" s="2"/>
      <c r="Q123" s="4">
        <f>Table1[[#This Row],[Unit Price without SST]]*Table1[[#This Row],[No of Unit]]</f>
        <v>0</v>
      </c>
      <c r="R123" s="5">
        <f>Table1[[#This Row],[Unit Price with SST 8%]]*Table1[[#This Row],[No of Unit]]</f>
        <v>0</v>
      </c>
      <c r="S123" s="3">
        <f>Table1[[#This Row],[Total Price with SST 8%]]-Table1[[#This Row],[Total Price without SST]]</f>
        <v>0</v>
      </c>
      <c r="U123" s="5">
        <f>Table1[[#This Row],[Total Price with SST 8%]]-(Table1[[#This Row],[Total Price with SST 8%]]*Table1[[#This Row],[Discount %]]/100)</f>
        <v>0</v>
      </c>
      <c r="V123" s="5"/>
      <c r="W123" s="5"/>
      <c r="X123" s="5"/>
      <c r="Y123" s="20" t="s">
        <v>368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ht="15" customHeight="1">
      <c r="A124" s="1">
        <v>123</v>
      </c>
      <c r="B124" s="61">
        <v>46162</v>
      </c>
      <c r="C124" s="59" t="s">
        <v>25</v>
      </c>
      <c r="D124" s="59" t="s">
        <v>25</v>
      </c>
      <c r="E124" s="59" t="s">
        <v>396</v>
      </c>
      <c r="F124" s="59" t="s">
        <v>36</v>
      </c>
      <c r="G124" s="59" t="s">
        <v>190</v>
      </c>
      <c r="H124" s="15" t="s">
        <v>79</v>
      </c>
      <c r="I124" s="1" t="s">
        <v>226</v>
      </c>
      <c r="J124" s="1" t="s">
        <v>397</v>
      </c>
      <c r="M124" s="15">
        <v>2</v>
      </c>
      <c r="N124" s="15">
        <v>20</v>
      </c>
      <c r="O124" s="4">
        <v>10500</v>
      </c>
      <c r="P124" s="2">
        <f>Table1[[#This Row],[Unit Price without SST]]*1.08</f>
        <v>11340</v>
      </c>
      <c r="Q124" s="4">
        <f>Table1[[#This Row],[Unit Price without SST]]*Table1[[#This Row],[Duration - Days]]</f>
        <v>21000</v>
      </c>
      <c r="R124" s="5">
        <f>Table1[[#This Row],[Unit Price with SST 8%]]*Table1[[#This Row],[Duration - Days]]</f>
        <v>22680</v>
      </c>
      <c r="S124" s="3">
        <f>Table1[[#This Row],[Total Price with SST 8%]]-Table1[[#This Row],[Total Price without SST]]</f>
        <v>1680</v>
      </c>
      <c r="U124" s="5">
        <f>Table1[[#This Row],[Total Price with SST 8%]]-(Table1[[#This Row],[Total Price with SST 8%]]*Table1[[#This Row],[Discount %]]/100)</f>
        <v>22680</v>
      </c>
      <c r="V124" s="5"/>
      <c r="W124" s="5"/>
      <c r="X124" s="5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ht="15" customHeight="1">
      <c r="A125" s="1">
        <v>124</v>
      </c>
      <c r="B125" s="61">
        <v>46128</v>
      </c>
      <c r="C125" s="59" t="s">
        <v>25</v>
      </c>
      <c r="D125" s="28"/>
      <c r="E125" s="77" t="s">
        <v>398</v>
      </c>
      <c r="F125" s="59" t="s">
        <v>36</v>
      </c>
      <c r="G125" s="28" t="s">
        <v>399</v>
      </c>
      <c r="H125" s="15" t="s">
        <v>79</v>
      </c>
      <c r="I125" s="1" t="s">
        <v>226</v>
      </c>
      <c r="J125" s="1" t="s">
        <v>400</v>
      </c>
      <c r="M125" s="15">
        <v>2</v>
      </c>
      <c r="N125" s="1">
        <v>25</v>
      </c>
      <c r="O125" s="4">
        <v>10500</v>
      </c>
      <c r="P125" s="2">
        <f>Table1[[#This Row],[Unit Price without SST]]*1.08</f>
        <v>11340</v>
      </c>
      <c r="Q125" s="4">
        <f>Table1[[#This Row],[Unit Price without SST]]*Table1[[#This Row],[Duration - Days]]</f>
        <v>21000</v>
      </c>
      <c r="R125" s="5">
        <f>Table1[[#This Row],[Unit Price with SST 8%]]*Table1[[#This Row],[Duration - Days]]</f>
        <v>22680</v>
      </c>
      <c r="S125" s="3">
        <f>Table1[[#This Row],[Total Price with SST 8%]]-Table1[[#This Row],[Total Price without SST]]</f>
        <v>1680</v>
      </c>
      <c r="U125" s="5">
        <f>Table1[[#This Row],[Total Price with SST 8%]]-(Table1[[#This Row],[Total Price with SST 8%]]*Table1[[#This Row],[Discount %]]/100)</f>
        <v>22680</v>
      </c>
      <c r="V125" s="5"/>
      <c r="W125" s="5"/>
      <c r="X125" s="5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ht="15" customHeight="1">
      <c r="A126" s="1">
        <v>125</v>
      </c>
      <c r="B126" s="61">
        <v>46128</v>
      </c>
      <c r="C126" s="59" t="s">
        <v>25</v>
      </c>
      <c r="D126" s="28"/>
      <c r="E126" s="77" t="s">
        <v>401</v>
      </c>
      <c r="F126" s="59" t="s">
        <v>36</v>
      </c>
      <c r="G126" s="28" t="s">
        <v>399</v>
      </c>
      <c r="H126" s="15" t="s">
        <v>79</v>
      </c>
      <c r="I126" s="1" t="s">
        <v>230</v>
      </c>
      <c r="J126" s="1" t="s">
        <v>400</v>
      </c>
      <c r="M126" s="1">
        <v>5</v>
      </c>
      <c r="N126" s="1">
        <v>15</v>
      </c>
      <c r="O126" s="4">
        <v>10500</v>
      </c>
      <c r="P126" s="2">
        <f>Table1[[#This Row],[Unit Price without SST]]*1.08</f>
        <v>11340</v>
      </c>
      <c r="Q126" s="4">
        <f>Table1[[#This Row],[Unit Price without SST]]*Table1[[#This Row],[Duration - Days]]</f>
        <v>52500</v>
      </c>
      <c r="R126" s="5">
        <f>Table1[[#This Row],[Unit Price with SST 8%]]*Table1[[#This Row],[Duration - Days]]</f>
        <v>56700</v>
      </c>
      <c r="S126" s="3">
        <f>Table1[[#This Row],[Total Price with SST 8%]]-Table1[[#This Row],[Total Price without SST]]</f>
        <v>4200</v>
      </c>
      <c r="U126" s="5">
        <f>Table1[[#This Row],[Total Price with SST 8%]]-(Table1[[#This Row],[Total Price with SST 8%]]*Table1[[#This Row],[Discount %]]/100)</f>
        <v>56700</v>
      </c>
      <c r="V126" s="5"/>
      <c r="W126" s="5"/>
      <c r="X126" s="5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ht="15" customHeight="1">
      <c r="A127" s="1">
        <v>126</v>
      </c>
      <c r="B127" s="61">
        <v>46128</v>
      </c>
      <c r="C127" s="59" t="s">
        <v>25</v>
      </c>
      <c r="D127" s="28"/>
      <c r="E127" s="77" t="s">
        <v>402</v>
      </c>
      <c r="F127" s="28" t="s">
        <v>27</v>
      </c>
      <c r="G127" s="28" t="s">
        <v>403</v>
      </c>
      <c r="H127" s="1" t="s">
        <v>194</v>
      </c>
      <c r="I127" s="1" t="s">
        <v>226</v>
      </c>
      <c r="J127" s="1" t="s">
        <v>404</v>
      </c>
      <c r="M127" s="1">
        <v>2</v>
      </c>
      <c r="N127" s="1">
        <v>1</v>
      </c>
      <c r="O127" s="4">
        <f>Table1[[#This Row],[Unit Price with SST 8%]]/1.08</f>
        <v>921.29629629629619</v>
      </c>
      <c r="P127" s="2">
        <v>995</v>
      </c>
      <c r="Q127" s="4">
        <f>Table1[[#This Row],[Unit Price without SST]]*Table1[[#This Row],[No of Unit]]*Table1[[#This Row],[Duration - Days]]</f>
        <v>1842.5925925925924</v>
      </c>
      <c r="R127" s="5">
        <f>Table1[[#This Row],[Unit Price with SST 8%]]*Table1[[#This Row],[No of Unit]]*Table1[[#This Row],[Duration - Days]]</f>
        <v>1990</v>
      </c>
      <c r="S127" s="3">
        <f>Table1[[#This Row],[Total Price with SST 8%]]-Table1[[#This Row],[Total Price without SST]]</f>
        <v>147.40740740740762</v>
      </c>
      <c r="U127" s="5">
        <f>Table1[[#This Row],[Total Price with SST 8%]]-(Table1[[#This Row],[Total Price with SST 8%]]*Table1[[#This Row],[Discount %]]/100)</f>
        <v>1990</v>
      </c>
      <c r="V127" s="5"/>
      <c r="W127" s="5"/>
      <c r="X127" s="5"/>
      <c r="Y127" s="1" t="s">
        <v>405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ht="15" customHeight="1">
      <c r="A128" s="1">
        <v>127</v>
      </c>
      <c r="B128" s="57">
        <v>46132</v>
      </c>
      <c r="C128" s="59" t="s">
        <v>25</v>
      </c>
      <c r="D128" s="28"/>
      <c r="E128" s="77" t="s">
        <v>406</v>
      </c>
      <c r="F128" s="28" t="s">
        <v>27</v>
      </c>
      <c r="G128" s="62" t="s">
        <v>116</v>
      </c>
      <c r="H128" s="1" t="s">
        <v>79</v>
      </c>
      <c r="I128" s="1" t="s">
        <v>226</v>
      </c>
      <c r="J128" s="1" t="s">
        <v>407</v>
      </c>
      <c r="M128" s="1">
        <v>2</v>
      </c>
      <c r="N128" s="1">
        <v>20</v>
      </c>
      <c r="O128" s="4">
        <v>1990</v>
      </c>
      <c r="P128" s="2">
        <v>2149.1999999999998</v>
      </c>
      <c r="Q128" s="4">
        <f>Table1[[#This Row],[Unit Price without SST]]*Table1[[#This Row],[No of Unit]]</f>
        <v>39800</v>
      </c>
      <c r="R128" s="5">
        <f>Table1[[#This Row],[Unit Price with SST 8%]]*Table1[[#This Row],[No of Unit]]</f>
        <v>42984</v>
      </c>
      <c r="S128" s="3">
        <f>Table1[[#This Row],[Total Price with SST 8%]]-Table1[[#This Row],[Total Price without SST]]</f>
        <v>3184</v>
      </c>
      <c r="U128" s="5">
        <f>Table1[[#This Row],[Total Price with SST 8%]]-(Table1[[#This Row],[Total Price with SST 8%]]*Table1[[#This Row],[Discount %]]/100)</f>
        <v>42984</v>
      </c>
      <c r="V128" s="5"/>
      <c r="W128" s="5"/>
      <c r="X128" s="5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ht="15" customHeight="1">
      <c r="A129" s="1">
        <v>128</v>
      </c>
      <c r="B129" s="31">
        <v>46133</v>
      </c>
      <c r="C129" s="1" t="s">
        <v>25</v>
      </c>
      <c r="E129" s="77" t="s">
        <v>408</v>
      </c>
      <c r="F129" s="1" t="s">
        <v>36</v>
      </c>
      <c r="G129" s="1" t="s">
        <v>409</v>
      </c>
      <c r="H129" s="1" t="s">
        <v>194</v>
      </c>
      <c r="I129" s="1" t="s">
        <v>257</v>
      </c>
      <c r="J129" s="1" t="s">
        <v>410</v>
      </c>
      <c r="M129" s="1">
        <v>2</v>
      </c>
      <c r="N129" s="1">
        <v>20</v>
      </c>
      <c r="O129" s="4">
        <f>Table1[[#This Row],[Unit Price with SST 8%]]/1.08</f>
        <v>1360</v>
      </c>
      <c r="P129" s="2">
        <f>1360*1.08</f>
        <v>1468.8000000000002</v>
      </c>
      <c r="Q129" s="4">
        <f>Table1[[#This Row],[Unit Price without SST]]*Table1[[#This Row],[No of Unit]]</f>
        <v>27200</v>
      </c>
      <c r="R129" s="5">
        <f>Table1[[#This Row],[Unit Price with SST 8%]]*Table1[[#This Row],[No of Unit]]</f>
        <v>29376.000000000004</v>
      </c>
      <c r="S129" s="3">
        <f>Table1[[#This Row],[Total Price with SST 8%]]-Table1[[#This Row],[Total Price without SST]]</f>
        <v>2176.0000000000036</v>
      </c>
      <c r="U129" s="5">
        <f>Table1[[#This Row],[Total Price with SST 8%]]-(Table1[[#This Row],[Total Price with SST 8%]]*Table1[[#This Row],[Discount %]]/100)</f>
        <v>29376.000000000004</v>
      </c>
      <c r="V129" s="5" t="s">
        <v>33</v>
      </c>
      <c r="W129" s="5"/>
      <c r="X129" s="5"/>
      <c r="Y129" s="1" t="s">
        <v>194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ht="15" customHeight="1">
      <c r="A130" s="1">
        <v>129</v>
      </c>
      <c r="B130" s="31">
        <v>46133</v>
      </c>
      <c r="C130" s="1" t="s">
        <v>25</v>
      </c>
      <c r="E130" s="77" t="s">
        <v>411</v>
      </c>
      <c r="F130" s="1" t="s">
        <v>36</v>
      </c>
      <c r="G130" s="1" t="s">
        <v>412</v>
      </c>
      <c r="H130" s="1" t="s">
        <v>194</v>
      </c>
      <c r="I130" s="1" t="s">
        <v>257</v>
      </c>
      <c r="J130" s="1" t="s">
        <v>410</v>
      </c>
      <c r="M130" s="1">
        <v>2</v>
      </c>
      <c r="N130" s="1">
        <v>20</v>
      </c>
      <c r="O130" s="4">
        <f>Table1[[#This Row],[Unit Price with SST 8%]]/1.08</f>
        <v>1390</v>
      </c>
      <c r="P130" s="2">
        <f>1390*1.08</f>
        <v>1501.2</v>
      </c>
      <c r="Q130" s="4">
        <f>Table1[[#This Row],[Unit Price without SST]]*Table1[[#This Row],[No of Unit]]</f>
        <v>27800</v>
      </c>
      <c r="R130" s="5">
        <f>Table1[[#This Row],[Unit Price with SST 8%]]*Table1[[#This Row],[No of Unit]]</f>
        <v>30024</v>
      </c>
      <c r="S130" s="3">
        <f>Table1[[#This Row],[Total Price with SST 8%]]-Table1[[#This Row],[Total Price without SST]]</f>
        <v>2224</v>
      </c>
      <c r="U130" s="5">
        <f>Table1[[#This Row],[Total Price with SST 8%]]-(Table1[[#This Row],[Total Price with SST 8%]]*Table1[[#This Row],[Discount %]]/100)</f>
        <v>30024</v>
      </c>
      <c r="V130" s="5" t="s">
        <v>33</v>
      </c>
      <c r="W130" s="5"/>
      <c r="X130" s="5"/>
      <c r="Y130" s="1" t="s">
        <v>194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ht="15" customHeight="1">
      <c r="A131" s="1">
        <v>130</v>
      </c>
      <c r="B131" s="31">
        <v>46133</v>
      </c>
      <c r="C131" s="1" t="s">
        <v>200</v>
      </c>
      <c r="E131" s="77" t="s">
        <v>413</v>
      </c>
      <c r="F131" s="1" t="s">
        <v>202</v>
      </c>
      <c r="G131" s="1" t="s">
        <v>414</v>
      </c>
      <c r="H131" s="1" t="s">
        <v>415</v>
      </c>
      <c r="I131" s="1" t="s">
        <v>416</v>
      </c>
      <c r="J131" s="1" t="s">
        <v>417</v>
      </c>
      <c r="M131" s="1">
        <v>1</v>
      </c>
      <c r="N131" s="1">
        <v>1</v>
      </c>
      <c r="O131" s="4">
        <v>1625</v>
      </c>
      <c r="P131" s="2">
        <v>1625</v>
      </c>
      <c r="Q131" s="4">
        <f>Table1[[#This Row],[Unit Price without SST]]*Table1[[#This Row],[No of Unit]]</f>
        <v>1625</v>
      </c>
      <c r="R131" s="5">
        <f>Table1[[#This Row],[Unit Price with SST 8%]]*Table1[[#This Row],[No of Unit]]</f>
        <v>1625</v>
      </c>
      <c r="S131" s="3">
        <f>Table1[[#This Row],[Total Price with SST 8%]]-Table1[[#This Row],[Total Price without SST]]</f>
        <v>0</v>
      </c>
      <c r="U131" s="5">
        <f>Table1[[#This Row],[Total Price with SST 8%]]-(Table1[[#This Row],[Total Price with SST 8%]]*Table1[[#This Row],[Discount %]]/100)</f>
        <v>1625</v>
      </c>
      <c r="V131" s="5" t="s">
        <v>33</v>
      </c>
      <c r="W131" s="5"/>
      <c r="X131" s="5"/>
      <c r="Y131" s="1" t="s">
        <v>415</v>
      </c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ht="15" customHeight="1">
      <c r="A132" s="1">
        <v>131</v>
      </c>
      <c r="B132" s="37">
        <v>46134</v>
      </c>
      <c r="C132" s="15" t="s">
        <v>25</v>
      </c>
      <c r="D132" s="15" t="s">
        <v>25</v>
      </c>
      <c r="E132" s="15" t="s">
        <v>418</v>
      </c>
      <c r="F132" s="15" t="s">
        <v>36</v>
      </c>
      <c r="G132" s="15" t="s">
        <v>141</v>
      </c>
      <c r="H132" s="1" t="s">
        <v>79</v>
      </c>
      <c r="I132" s="15" t="s">
        <v>340</v>
      </c>
      <c r="J132" s="15" t="s">
        <v>341</v>
      </c>
      <c r="M132" s="1">
        <v>2</v>
      </c>
      <c r="N132" s="1">
        <v>14</v>
      </c>
      <c r="O132" s="4">
        <f>Table1[[#This Row],[Unit Price with SST 8%]]/1.08</f>
        <v>787.03703703703695</v>
      </c>
      <c r="P132" s="2">
        <v>850</v>
      </c>
      <c r="Q132" s="4">
        <f>Table1[[#This Row],[Unit Price without SST]]*Table1[[#This Row],[No of Unit]]*Table1[[#This Row],[Duration - Days]]</f>
        <v>22037.037037037036</v>
      </c>
      <c r="R132" s="5">
        <f>Table1[[#This Row],[Unit Price with SST 8%]]*Table1[[#This Row],[No of Unit]]*Table1[[#This Row],[Duration - Days]]</f>
        <v>23800</v>
      </c>
      <c r="S132" s="3">
        <f>Table1[[#This Row],[Total Price with SST 8%]]-Table1[[#This Row],[Total Price without SST]]</f>
        <v>1762.9629629629635</v>
      </c>
      <c r="U132" s="5">
        <f>Table1[[#This Row],[Total Price with SST 8%]]-(Table1[[#This Row],[Total Price with SST 8%]]*Table1[[#This Row],[Discount %]]/100)</f>
        <v>23800</v>
      </c>
      <c r="V132" s="5"/>
      <c r="W132" s="5"/>
      <c r="X132" s="5"/>
      <c r="Y132" s="1" t="s">
        <v>405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ht="15" customHeight="1">
      <c r="A133" s="1">
        <v>132</v>
      </c>
      <c r="B133" s="37">
        <v>46135</v>
      </c>
      <c r="C133" s="15" t="s">
        <v>25</v>
      </c>
      <c r="D133" s="15" t="s">
        <v>25</v>
      </c>
      <c r="E133" s="81" t="s">
        <v>419</v>
      </c>
      <c r="F133" s="1" t="s">
        <v>36</v>
      </c>
      <c r="G133" s="1" t="s">
        <v>420</v>
      </c>
      <c r="H133" s="1" t="s">
        <v>194</v>
      </c>
      <c r="I133" s="1" t="s">
        <v>421</v>
      </c>
      <c r="J133" s="1" t="s">
        <v>422</v>
      </c>
      <c r="M133" s="1">
        <v>1</v>
      </c>
      <c r="N133" s="1">
        <v>21</v>
      </c>
      <c r="O133" s="4">
        <f>Table1[[#This Row],[Unit Price with SST 8%]]/1.08</f>
        <v>70</v>
      </c>
      <c r="P133" s="2">
        <f>70*1.08</f>
        <v>75.600000000000009</v>
      </c>
      <c r="Q133" s="4">
        <f>Table1[[#This Row],[Unit Price without SST]]*Table1[[#This Row],[No of Unit]]</f>
        <v>1470</v>
      </c>
      <c r="R133" s="5">
        <f>Table1[[#This Row],[Unit Price with SST 8%]]*Table1[[#This Row],[No of Unit]]</f>
        <v>1587.6000000000001</v>
      </c>
      <c r="S133" s="3">
        <f>Table1[[#This Row],[Total Price with SST 8%]]-Table1[[#This Row],[Total Price without SST]]</f>
        <v>117.60000000000014</v>
      </c>
      <c r="U133" s="5">
        <f>Table1[[#This Row],[Total Price with SST 8%]]-(Table1[[#This Row],[Total Price with SST 8%]]*Table1[[#This Row],[Discount %]]/100)</f>
        <v>1587.6000000000001</v>
      </c>
      <c r="V133" s="5" t="s">
        <v>33</v>
      </c>
      <c r="W133" s="5"/>
      <c r="X133" s="5"/>
      <c r="Y133" s="1" t="s">
        <v>194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ht="15" customHeight="1">
      <c r="A134" s="1">
        <v>133</v>
      </c>
      <c r="B134" s="37">
        <v>46135</v>
      </c>
      <c r="C134" s="15" t="s">
        <v>25</v>
      </c>
      <c r="E134" s="15" t="s">
        <v>423</v>
      </c>
      <c r="F134" s="1" t="s">
        <v>36</v>
      </c>
      <c r="G134" s="1" t="s">
        <v>420</v>
      </c>
      <c r="H134" s="1" t="s">
        <v>194</v>
      </c>
      <c r="I134" s="1" t="s">
        <v>424</v>
      </c>
      <c r="J134" s="1" t="s">
        <v>422</v>
      </c>
      <c r="M134" s="1">
        <v>1</v>
      </c>
      <c r="N134" s="1">
        <v>21</v>
      </c>
      <c r="O134" s="4">
        <f>Table1[[#This Row],[Unit Price with SST 8%]]/1.08</f>
        <v>70</v>
      </c>
      <c r="P134" s="2">
        <f>70*1.08</f>
        <v>75.600000000000009</v>
      </c>
      <c r="Q134" s="4">
        <f>Table1[[#This Row],[Unit Price without SST]]*Table1[[#This Row],[No of Unit]]</f>
        <v>1470</v>
      </c>
      <c r="R134" s="5">
        <f>Table1[[#This Row],[Unit Price with SST 8%]]*Table1[[#This Row],[No of Unit]]</f>
        <v>1587.6000000000001</v>
      </c>
      <c r="S134" s="3">
        <f>Table1[[#This Row],[Total Price with SST 8%]]-Table1[[#This Row],[Total Price without SST]]</f>
        <v>117.60000000000014</v>
      </c>
      <c r="U134" s="5">
        <f>Table1[[#This Row],[Total Price with SST 8%]]-(Table1[[#This Row],[Total Price with SST 8%]]*Table1[[#This Row],[Discount %]]/100)</f>
        <v>1587.6000000000001</v>
      </c>
      <c r="V134" s="5" t="s">
        <v>33</v>
      </c>
      <c r="W134" s="5"/>
      <c r="X134" s="5"/>
      <c r="Y134" s="1" t="s">
        <v>194</v>
      </c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ht="15" customHeight="1">
      <c r="A135" s="1">
        <v>134</v>
      </c>
      <c r="B135" s="37">
        <v>46135</v>
      </c>
      <c r="C135" s="15" t="s">
        <v>25</v>
      </c>
      <c r="E135" s="15" t="s">
        <v>425</v>
      </c>
      <c r="F135" s="1" t="s">
        <v>36</v>
      </c>
      <c r="G135" s="1" t="s">
        <v>426</v>
      </c>
      <c r="H135" s="1" t="s">
        <v>215</v>
      </c>
      <c r="I135" s="1" t="s">
        <v>427</v>
      </c>
      <c r="J135" s="1" t="s">
        <v>428</v>
      </c>
      <c r="M135" s="1">
        <v>1</v>
      </c>
      <c r="N135" s="1">
        <v>31</v>
      </c>
      <c r="O135" s="4">
        <f>Table1[[#This Row],[Unit Price with SST 8%]]/1.08</f>
        <v>32.407407407407405</v>
      </c>
      <c r="P135" s="2">
        <v>35</v>
      </c>
      <c r="Q135" s="4">
        <f>Table1[[#This Row],[Unit Price without SST]]*Table1[[#This Row],[No of Unit]]</f>
        <v>1004.6296296296296</v>
      </c>
      <c r="R135" s="5">
        <f>Table1[[#This Row],[Unit Price with SST 8%]]*Table1[[#This Row],[No of Unit]]</f>
        <v>1085</v>
      </c>
      <c r="S135" s="3">
        <f>Table1[[#This Row],[Total Price with SST 8%]]-Table1[[#This Row],[Total Price without SST]]</f>
        <v>80.370370370370438</v>
      </c>
      <c r="U135" s="5">
        <f>Table1[[#This Row],[Total Price with SST 8%]]-(Table1[[#This Row],[Total Price with SST 8%]]*Table1[[#This Row],[Discount %]]/100)</f>
        <v>1085</v>
      </c>
      <c r="V135" s="5" t="s">
        <v>33</v>
      </c>
      <c r="W135" s="5"/>
      <c r="X135" s="5" t="s">
        <v>199</v>
      </c>
      <c r="Y135" s="1" t="s">
        <v>194</v>
      </c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ht="15" customHeight="1">
      <c r="A136" s="1">
        <v>135</v>
      </c>
      <c r="B136" s="31">
        <v>46138</v>
      </c>
      <c r="C136" s="1" t="s">
        <v>25</v>
      </c>
      <c r="D136" s="1" t="s">
        <v>25</v>
      </c>
      <c r="E136" s="81" t="s">
        <v>429</v>
      </c>
      <c r="F136" s="1" t="s">
        <v>36</v>
      </c>
      <c r="G136" s="1" t="s">
        <v>430</v>
      </c>
      <c r="H136" s="1" t="s">
        <v>194</v>
      </c>
      <c r="I136" s="1" t="s">
        <v>226</v>
      </c>
      <c r="J136" s="1" t="s">
        <v>431</v>
      </c>
      <c r="M136" s="1">
        <v>2</v>
      </c>
      <c r="N136" s="1">
        <v>1</v>
      </c>
      <c r="O136" s="4">
        <f>Table1[[#This Row],[Unit Price with SST 8%]]/1.08</f>
        <v>21000</v>
      </c>
      <c r="P136" s="2">
        <f>21000*1.08</f>
        <v>22680</v>
      </c>
      <c r="Q136" s="4">
        <f>Table1[[#This Row],[Unit Price without SST]]*Table1[[#This Row],[No of Unit]]</f>
        <v>21000</v>
      </c>
      <c r="R136" s="5">
        <f>Table1[[#This Row],[Unit Price with SST 8%]]*Table1[[#This Row],[No of Unit]]</f>
        <v>22680</v>
      </c>
      <c r="S136" s="3">
        <f>Table1[[#This Row],[Total Price with SST 8%]]-Table1[[#This Row],[Total Price without SST]]</f>
        <v>1680</v>
      </c>
      <c r="U136" s="5">
        <f>Table1[[#This Row],[Total Price with SST 8%]]-(Table1[[#This Row],[Total Price with SST 8%]]*Table1[[#This Row],[Discount %]]/100)</f>
        <v>22680</v>
      </c>
      <c r="V136" s="5" t="s">
        <v>33</v>
      </c>
      <c r="W136" s="5"/>
      <c r="X136" s="5"/>
      <c r="Y136" s="1" t="s">
        <v>194</v>
      </c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ht="15" customHeight="1">
      <c r="A137" s="1">
        <v>136</v>
      </c>
      <c r="B137" s="31">
        <v>46140</v>
      </c>
      <c r="C137" s="1" t="s">
        <v>25</v>
      </c>
      <c r="D137" s="1" t="s">
        <v>25</v>
      </c>
      <c r="E137" s="81" t="s">
        <v>432</v>
      </c>
      <c r="F137" s="1" t="s">
        <v>36</v>
      </c>
      <c r="G137" s="1" t="s">
        <v>116</v>
      </c>
      <c r="H137" s="1" t="s">
        <v>194</v>
      </c>
      <c r="I137" s="1" t="s">
        <v>433</v>
      </c>
      <c r="J137" s="1" t="s">
        <v>434</v>
      </c>
      <c r="M137" s="1">
        <v>2</v>
      </c>
      <c r="N137" s="1">
        <v>1</v>
      </c>
      <c r="O137" s="4">
        <f>Table1[[#This Row],[Unit Price with SST 8%]]/1.08</f>
        <v>21000</v>
      </c>
      <c r="P137" s="2">
        <f>21000*1.08</f>
        <v>22680</v>
      </c>
      <c r="Q137" s="4">
        <f>Table1[[#This Row],[Unit Price without SST]]*Table1[[#This Row],[No of Unit]]</f>
        <v>21000</v>
      </c>
      <c r="R137" s="5">
        <f>Table1[[#This Row],[Unit Price with SST 8%]]*Table1[[#This Row],[No of Unit]]</f>
        <v>22680</v>
      </c>
      <c r="S137" s="3">
        <f>Table1[[#This Row],[Total Price with SST 8%]]-Table1[[#This Row],[Total Price without SST]]</f>
        <v>1680</v>
      </c>
      <c r="U137" s="5">
        <f>Table1[[#This Row],[Total Price with SST 8%]]-(Table1[[#This Row],[Total Price with SST 8%]]*Table1[[#This Row],[Discount %]]/100)</f>
        <v>22680</v>
      </c>
      <c r="V137" s="5" t="s">
        <v>33</v>
      </c>
      <c r="W137" s="5"/>
      <c r="X137" s="5"/>
      <c r="Y137" s="1" t="s">
        <v>194</v>
      </c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ht="15" customHeight="1">
      <c r="A138" s="1">
        <v>137</v>
      </c>
      <c r="B138" s="31">
        <v>46140</v>
      </c>
      <c r="C138" s="1" t="s">
        <v>25</v>
      </c>
      <c r="D138" s="1" t="s">
        <v>25</v>
      </c>
      <c r="E138" s="81" t="s">
        <v>435</v>
      </c>
      <c r="F138" s="1" t="s">
        <v>36</v>
      </c>
      <c r="G138" s="1" t="s">
        <v>116</v>
      </c>
      <c r="H138" s="1" t="s">
        <v>194</v>
      </c>
      <c r="I138" s="1" t="s">
        <v>226</v>
      </c>
      <c r="J138" s="1" t="s">
        <v>436</v>
      </c>
      <c r="M138" s="1">
        <v>2</v>
      </c>
      <c r="N138" s="1">
        <v>1</v>
      </c>
      <c r="O138" s="4">
        <f>Table1[[#This Row],[Unit Price with SST 8%]]/1.08</f>
        <v>21000</v>
      </c>
      <c r="P138" s="2">
        <f>21000*1.08</f>
        <v>22680</v>
      </c>
      <c r="Q138" s="4">
        <f>Table1[[#This Row],[Unit Price without SST]]*Table1[[#This Row],[No of Unit]]</f>
        <v>21000</v>
      </c>
      <c r="R138" s="5">
        <f>Table1[[#This Row],[Unit Price with SST 8%]]*Table1[[#This Row],[No of Unit]]</f>
        <v>22680</v>
      </c>
      <c r="S138" s="3">
        <f>Table1[[#This Row],[Total Price with SST 8%]]-Table1[[#This Row],[Total Price without SST]]</f>
        <v>1680</v>
      </c>
      <c r="U138" s="5">
        <f>Table1[[#This Row],[Total Price with SST 8%]]-(Table1[[#This Row],[Total Price with SST 8%]]*Table1[[#This Row],[Discount %]]/100)</f>
        <v>22680</v>
      </c>
      <c r="V138" s="5" t="s">
        <v>33</v>
      </c>
      <c r="W138" s="5"/>
      <c r="X138" s="5"/>
      <c r="Y138" s="1" t="s">
        <v>194</v>
      </c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ht="15" customHeight="1">
      <c r="A139" s="1">
        <v>138</v>
      </c>
      <c r="B139" s="31">
        <v>46140</v>
      </c>
      <c r="C139" s="1" t="s">
        <v>25</v>
      </c>
      <c r="D139" s="1" t="s">
        <v>25</v>
      </c>
      <c r="E139" s="81" t="s">
        <v>437</v>
      </c>
      <c r="F139" s="1" t="s">
        <v>36</v>
      </c>
      <c r="G139" s="1" t="s">
        <v>438</v>
      </c>
      <c r="H139" s="1" t="s">
        <v>194</v>
      </c>
      <c r="I139" s="1" t="s">
        <v>439</v>
      </c>
      <c r="J139" s="1" t="s">
        <v>440</v>
      </c>
      <c r="M139" s="1">
        <v>2</v>
      </c>
      <c r="N139" s="1">
        <v>1</v>
      </c>
      <c r="O139" s="4">
        <f>Table1[[#This Row],[Unit Price with SST 8%]]/1.08</f>
        <v>21000</v>
      </c>
      <c r="P139" s="2">
        <f>21000*1.08</f>
        <v>22680</v>
      </c>
      <c r="Q139" s="4">
        <f>Table1[[#This Row],[Unit Price without SST]]*Table1[[#This Row],[No of Unit]]</f>
        <v>21000</v>
      </c>
      <c r="R139" s="5">
        <f>Table1[[#This Row],[Unit Price with SST 8%]]*Table1[[#This Row],[No of Unit]]</f>
        <v>22680</v>
      </c>
      <c r="S139" s="3">
        <f>Table1[[#This Row],[Total Price with SST 8%]]-Table1[[#This Row],[Total Price without SST]]</f>
        <v>1680</v>
      </c>
      <c r="U139" s="5">
        <f>Table1[[#This Row],[Total Price with SST 8%]]-(Table1[[#This Row],[Total Price with SST 8%]]*Table1[[#This Row],[Discount %]]/100)</f>
        <v>22680</v>
      </c>
      <c r="V139" s="5" t="s">
        <v>33</v>
      </c>
      <c r="W139" s="5"/>
      <c r="X139" s="5"/>
      <c r="Y139" s="1" t="s">
        <v>194</v>
      </c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ht="15" customHeight="1">
      <c r="A140" s="1">
        <v>139</v>
      </c>
      <c r="B140" s="31">
        <v>46141</v>
      </c>
      <c r="C140" s="1" t="s">
        <v>200</v>
      </c>
      <c r="E140" s="29" t="s">
        <v>441</v>
      </c>
      <c r="F140" s="1" t="s">
        <v>202</v>
      </c>
      <c r="G140" s="1" t="s">
        <v>442</v>
      </c>
      <c r="H140" s="1" t="s">
        <v>415</v>
      </c>
      <c r="I140" s="1" t="s">
        <v>443</v>
      </c>
      <c r="J140" s="1" t="s">
        <v>444</v>
      </c>
      <c r="M140" s="1">
        <v>1</v>
      </c>
      <c r="N140" s="1">
        <v>1</v>
      </c>
      <c r="O140" s="4">
        <v>2150</v>
      </c>
      <c r="P140" s="2">
        <v>2150</v>
      </c>
      <c r="Q140" s="4">
        <f>Table1[[#This Row],[Unit Price without SST]]*Table1[[#This Row],[No of Unit]]</f>
        <v>2150</v>
      </c>
      <c r="R140" s="5">
        <f>Table1[[#This Row],[Unit Price with SST 8%]]*Table1[[#This Row],[No of Unit]]</f>
        <v>2150</v>
      </c>
      <c r="S140" s="3">
        <f>Table1[[#This Row],[Total Price with SST 8%]]-Table1[[#This Row],[Total Price without SST]]</f>
        <v>0</v>
      </c>
      <c r="U140" s="5">
        <f>Table1[[#This Row],[Total Price with SST 8%]]-(Table1[[#This Row],[Total Price with SST 8%]]*Table1[[#This Row],[Discount %]]/100)</f>
        <v>2150</v>
      </c>
      <c r="V140" s="5"/>
      <c r="W140" s="5"/>
      <c r="X140" s="5"/>
      <c r="Y140" s="1" t="s">
        <v>415</v>
      </c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ht="15" customHeight="1">
      <c r="A141" s="1">
        <v>140</v>
      </c>
      <c r="B141" s="31">
        <v>46141</v>
      </c>
      <c r="C141" s="1" t="s">
        <v>25</v>
      </c>
      <c r="D141" s="1" t="s">
        <v>25</v>
      </c>
      <c r="E141" s="81" t="s">
        <v>445</v>
      </c>
      <c r="F141" s="1" t="s">
        <v>27</v>
      </c>
      <c r="G141" s="1" t="s">
        <v>446</v>
      </c>
      <c r="H141" s="1" t="s">
        <v>194</v>
      </c>
      <c r="I141" s="1" t="s">
        <v>447</v>
      </c>
      <c r="J141" s="1" t="s">
        <v>448</v>
      </c>
      <c r="M141" s="1">
        <v>2</v>
      </c>
      <c r="N141" s="1">
        <v>1</v>
      </c>
      <c r="O141" s="4">
        <f>Table1[[#This Row],[Unit Price with SST 8%]]/1.08</f>
        <v>1388.8888888888887</v>
      </c>
      <c r="P141" s="2">
        <v>1500</v>
      </c>
      <c r="Q141" s="4">
        <f>Table1[[#This Row],[Unit Price without SST]]*Table1[[#This Row],[No of Unit]]</f>
        <v>1388.8888888888887</v>
      </c>
      <c r="R141" s="5">
        <f>Table1[[#This Row],[Unit Price with SST 8%]]*Table1[[#This Row],[No of Unit]]</f>
        <v>1500</v>
      </c>
      <c r="S141" s="3">
        <f>Table1[[#This Row],[Total Price with SST 8%]]-Table1[[#This Row],[Total Price without SST]]</f>
        <v>111.11111111111131</v>
      </c>
      <c r="U141" s="5">
        <f>Table1[[#This Row],[Total Price with SST 8%]]-(Table1[[#This Row],[Total Price with SST 8%]]*Table1[[#This Row],[Discount %]]/100)</f>
        <v>1500</v>
      </c>
      <c r="V141" s="5" t="s">
        <v>33</v>
      </c>
      <c r="W141" s="5"/>
      <c r="X141" s="5"/>
      <c r="Y141" s="1" t="s">
        <v>194</v>
      </c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ht="15" customHeight="1">
      <c r="A142" s="1">
        <v>141</v>
      </c>
      <c r="B142" s="31">
        <v>46141</v>
      </c>
      <c r="C142" s="1" t="s">
        <v>25</v>
      </c>
      <c r="D142" s="1" t="s">
        <v>25</v>
      </c>
      <c r="E142" s="81" t="s">
        <v>449</v>
      </c>
      <c r="F142" s="1" t="s">
        <v>27</v>
      </c>
      <c r="G142" s="1" t="s">
        <v>446</v>
      </c>
      <c r="H142" s="1" t="s">
        <v>194</v>
      </c>
      <c r="I142" s="1" t="s">
        <v>447</v>
      </c>
      <c r="J142" s="1" t="s">
        <v>448</v>
      </c>
      <c r="M142" s="1">
        <v>2</v>
      </c>
      <c r="N142" s="1">
        <v>1</v>
      </c>
      <c r="O142" s="4">
        <f>Table1[[#This Row],[Unit Price with SST 8%]]/1.08</f>
        <v>2777.7777777777774</v>
      </c>
      <c r="P142" s="2">
        <v>3000</v>
      </c>
      <c r="Q142" s="4">
        <f>Table1[[#This Row],[Unit Price without SST]]*Table1[[#This Row],[No of Unit]]</f>
        <v>2777.7777777777774</v>
      </c>
      <c r="R142" s="5">
        <f>Table1[[#This Row],[Unit Price with SST 8%]]*Table1[[#This Row],[No of Unit]]</f>
        <v>3000</v>
      </c>
      <c r="S142" s="3">
        <f>Table1[[#This Row],[Total Price with SST 8%]]-Table1[[#This Row],[Total Price without SST]]</f>
        <v>222.22222222222263</v>
      </c>
      <c r="U142" s="5">
        <f>Table1[[#This Row],[Total Price with SST 8%]]-(Table1[[#This Row],[Total Price with SST 8%]]*Table1[[#This Row],[Discount %]]/100)</f>
        <v>3000</v>
      </c>
      <c r="V142" s="5" t="s">
        <v>33</v>
      </c>
      <c r="W142" s="5"/>
      <c r="X142" s="5"/>
      <c r="Y142" s="1" t="s">
        <v>194</v>
      </c>
      <c r="AC142" s="4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ht="15" customHeight="1">
      <c r="A143" s="1">
        <v>142</v>
      </c>
      <c r="B143" s="31">
        <v>46142</v>
      </c>
      <c r="C143" s="1" t="s">
        <v>25</v>
      </c>
      <c r="E143" s="29" t="s">
        <v>450</v>
      </c>
      <c r="F143" s="1" t="s">
        <v>36</v>
      </c>
      <c r="G143" s="1" t="s">
        <v>451</v>
      </c>
      <c r="H143" s="1" t="s">
        <v>128</v>
      </c>
      <c r="I143" s="1" t="s">
        <v>452</v>
      </c>
      <c r="O143" s="4">
        <f>Table1[[#This Row],[Unit Price with SST 8%]]/1.08</f>
        <v>3703.7037037037035</v>
      </c>
      <c r="P143" s="2">
        <v>4000</v>
      </c>
      <c r="Q143" s="4">
        <v>50000</v>
      </c>
      <c r="R143" s="5">
        <f>Table1[[#This Row],[Unit Price with SST 8%]]*Table1[[#This Row],[No of Unit]]</f>
        <v>0</v>
      </c>
      <c r="S143" s="3">
        <f>Table1[[#This Row],[Total Price with SST 8%]]-Table1[[#This Row],[Total Price without SST]]</f>
        <v>-50000</v>
      </c>
      <c r="U143" s="5">
        <f>Table1[[#This Row],[Total Price with SST 8%]]-(Table1[[#This Row],[Total Price with SST 8%]]*Table1[[#This Row],[Discount %]]/100)</f>
        <v>0</v>
      </c>
      <c r="V143" s="5"/>
      <c r="W143" s="5"/>
      <c r="X143" s="5"/>
      <c r="Y143" s="1" t="s">
        <v>128</v>
      </c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ht="15" customHeight="1">
      <c r="A144" s="1">
        <v>143</v>
      </c>
      <c r="B144" s="31">
        <v>46142</v>
      </c>
      <c r="C144" s="1" t="s">
        <v>25</v>
      </c>
      <c r="E144" s="29" t="s">
        <v>453</v>
      </c>
      <c r="F144" s="1" t="s">
        <v>36</v>
      </c>
      <c r="G144" s="1" t="s">
        <v>451</v>
      </c>
      <c r="H144" s="1" t="s">
        <v>128</v>
      </c>
      <c r="I144" s="1" t="s">
        <v>454</v>
      </c>
      <c r="O144" s="4">
        <f>Table1[[#This Row],[Unit Price with SST 8%]]/1.08</f>
        <v>0</v>
      </c>
      <c r="P144" s="2"/>
      <c r="Q144" s="4">
        <f>Table1[[#This Row],[Unit Price without SST]]*Table1[[#This Row],[No of Unit]]</f>
        <v>0</v>
      </c>
      <c r="R144" s="5">
        <f>Table1[[#This Row],[Unit Price with SST 8%]]*Table1[[#This Row],[No of Unit]]</f>
        <v>0</v>
      </c>
      <c r="S144" s="3">
        <f>Table1[[#This Row],[Total Price with SST 8%]]-Table1[[#This Row],[Total Price without SST]]</f>
        <v>0</v>
      </c>
      <c r="U144" s="5">
        <f>Table1[[#This Row],[Total Price with SST 8%]]-(Table1[[#This Row],[Total Price with SST 8%]]*Table1[[#This Row],[Discount %]]/100)</f>
        <v>0</v>
      </c>
      <c r="V144" s="5"/>
      <c r="W144" s="5"/>
      <c r="X144" s="5"/>
      <c r="Y144" s="1" t="s">
        <v>128</v>
      </c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ht="15" customHeight="1">
      <c r="A145" s="1">
        <v>144</v>
      </c>
      <c r="B145" s="31">
        <v>46142</v>
      </c>
      <c r="C145" s="1" t="s">
        <v>25</v>
      </c>
      <c r="E145" s="29" t="s">
        <v>455</v>
      </c>
      <c r="F145" s="1" t="s">
        <v>27</v>
      </c>
      <c r="G145" s="1" t="s">
        <v>451</v>
      </c>
      <c r="H145" s="1" t="s">
        <v>128</v>
      </c>
      <c r="I145" s="1" t="s">
        <v>27</v>
      </c>
      <c r="O145" s="4">
        <f>Table1[[#This Row],[Unit Price with SST 8%]]/1.08</f>
        <v>0</v>
      </c>
      <c r="P145" s="2"/>
      <c r="Q145" s="4">
        <f>Table1[[#This Row],[Unit Price without SST]]*Table1[[#This Row],[No of Unit]]</f>
        <v>0</v>
      </c>
      <c r="R145" s="5">
        <f>Table1[[#This Row],[Unit Price with SST 8%]]*Table1[[#This Row],[No of Unit]]</f>
        <v>0</v>
      </c>
      <c r="S145" s="3">
        <f>Table1[[#This Row],[Total Price with SST 8%]]-Table1[[#This Row],[Total Price without SST]]</f>
        <v>0</v>
      </c>
      <c r="U145" s="5">
        <f>Table1[[#This Row],[Total Price with SST 8%]]-(Table1[[#This Row],[Total Price with SST 8%]]*Table1[[#This Row],[Discount %]]/100)</f>
        <v>0</v>
      </c>
      <c r="V145" s="5"/>
      <c r="W145" s="5"/>
      <c r="X145" s="5"/>
      <c r="Y145" s="1" t="s">
        <v>128</v>
      </c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ht="15" customHeight="1">
      <c r="A146" s="1">
        <v>145</v>
      </c>
      <c r="B146" s="31">
        <v>46142</v>
      </c>
      <c r="C146" s="1" t="s">
        <v>25</v>
      </c>
      <c r="E146" s="81" t="s">
        <v>456</v>
      </c>
      <c r="F146" s="1" t="s">
        <v>36</v>
      </c>
      <c r="G146" s="1" t="s">
        <v>457</v>
      </c>
      <c r="H146" s="1" t="s">
        <v>194</v>
      </c>
      <c r="I146" s="1" t="s">
        <v>458</v>
      </c>
      <c r="J146" s="1" t="s">
        <v>459</v>
      </c>
      <c r="M146" s="1">
        <v>4</v>
      </c>
      <c r="N146" s="1">
        <v>1</v>
      </c>
      <c r="O146" s="4">
        <f>Table1[[#This Row],[Unit Price with SST 8%]]/1.08</f>
        <v>38888.888888888883</v>
      </c>
      <c r="P146" s="2">
        <v>42000</v>
      </c>
      <c r="Q146" s="4">
        <f>Table1[[#This Row],[Unit Price without SST]]*Table1[[#This Row],[No of Unit]]</f>
        <v>38888.888888888883</v>
      </c>
      <c r="R146" s="5">
        <f>Table1[[#This Row],[Unit Price with SST 8%]]*Table1[[#This Row],[No of Unit]]</f>
        <v>42000</v>
      </c>
      <c r="S146" s="3">
        <f>Table1[[#This Row],[Total Price with SST 8%]]-Table1[[#This Row],[Total Price without SST]]</f>
        <v>3111.1111111111168</v>
      </c>
      <c r="U146" s="5">
        <f>Table1[[#This Row],[Total Price with SST 8%]]-(Table1[[#This Row],[Total Price with SST 8%]]*Table1[[#This Row],[Discount %]]/100)</f>
        <v>42000</v>
      </c>
      <c r="V146" s="5" t="s">
        <v>33</v>
      </c>
      <c r="W146" s="5"/>
      <c r="X146" s="5"/>
      <c r="Y146" s="1" t="s">
        <v>194</v>
      </c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ht="15" customHeight="1">
      <c r="A147" s="1">
        <v>146</v>
      </c>
      <c r="B147" s="31">
        <v>46142</v>
      </c>
      <c r="C147" s="28" t="s">
        <v>25</v>
      </c>
      <c r="D147" s="28"/>
      <c r="E147" s="77" t="s">
        <v>460</v>
      </c>
      <c r="F147" s="28" t="s">
        <v>36</v>
      </c>
      <c r="G147" s="28" t="s">
        <v>378</v>
      </c>
      <c r="H147" s="1" t="s">
        <v>79</v>
      </c>
      <c r="I147" s="1" t="s">
        <v>461</v>
      </c>
      <c r="J147" s="1" t="s">
        <v>380</v>
      </c>
      <c r="M147" s="1">
        <v>2</v>
      </c>
      <c r="N147" s="1">
        <v>1</v>
      </c>
      <c r="O147" s="4">
        <f>Table1[[#This Row],[Unit Price with SST 8%]]/1.08</f>
        <v>33333.333333333328</v>
      </c>
      <c r="P147" s="2">
        <v>36000</v>
      </c>
      <c r="Q147" s="4">
        <f>Table1[[#This Row],[Unit Price without SST]]*Table1[[#This Row],[No of Unit]]</f>
        <v>33333.333333333328</v>
      </c>
      <c r="R147" s="5">
        <f>Table1[[#This Row],[Unit Price with SST 8%]]*Table1[[#This Row],[No of Unit]]</f>
        <v>36000</v>
      </c>
      <c r="S147" s="3">
        <f>Table1[[#This Row],[Total Price with SST 8%]]-Table1[[#This Row],[Total Price without SST]]</f>
        <v>2666.6666666666715</v>
      </c>
      <c r="U147" s="5">
        <f>Table1[[#This Row],[Total Price with SST 8%]]-(Table1[[#This Row],[Total Price with SST 8%]]*Table1[[#This Row],[Discount %]]/100)</f>
        <v>36000</v>
      </c>
      <c r="V147" s="5" t="s">
        <v>33</v>
      </c>
      <c r="W147" s="5"/>
      <c r="X147" s="5"/>
      <c r="Y147" s="1" t="s">
        <v>194</v>
      </c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ht="15" customHeight="1">
      <c r="A148" s="1">
        <v>147</v>
      </c>
      <c r="B148" s="31">
        <v>46142</v>
      </c>
      <c r="C148" s="28" t="s">
        <v>25</v>
      </c>
      <c r="D148" s="28"/>
      <c r="E148" s="77" t="s">
        <v>462</v>
      </c>
      <c r="F148" s="28" t="s">
        <v>36</v>
      </c>
      <c r="G148" s="28" t="s">
        <v>213</v>
      </c>
      <c r="H148" s="1" t="s">
        <v>194</v>
      </c>
      <c r="I148" s="1" t="s">
        <v>463</v>
      </c>
      <c r="J148" s="1" t="s">
        <v>215</v>
      </c>
      <c r="M148" s="1">
        <v>5</v>
      </c>
      <c r="N148" s="1">
        <v>10</v>
      </c>
      <c r="O148" s="4">
        <f>Table1[[#This Row],[Unit Price with SST 8%]]/1.08</f>
        <v>5900</v>
      </c>
      <c r="P148" s="2">
        <f>5900*1.08</f>
        <v>6372</v>
      </c>
      <c r="Q148" s="4">
        <f>Table1[[#This Row],[Unit Price without SST]]*Table1[[#This Row],[No of Unit]]</f>
        <v>59000</v>
      </c>
      <c r="R148" s="5">
        <f>Table1[[#This Row],[Unit Price with SST 8%]]*Table1[[#This Row],[No of Unit]]</f>
        <v>63720</v>
      </c>
      <c r="S148" s="3">
        <f>Table1[[#This Row],[Total Price with SST 8%]]-Table1[[#This Row],[Total Price without SST]]</f>
        <v>4720</v>
      </c>
      <c r="U148" s="5">
        <f>Table1[[#This Row],[Total Price with SST 8%]]-(Table1[[#This Row],[Total Price with SST 8%]]*Table1[[#This Row],[Discount %]]/100)</f>
        <v>63720</v>
      </c>
      <c r="V148" s="5" t="s">
        <v>33</v>
      </c>
      <c r="W148" s="5"/>
      <c r="X148" s="5"/>
      <c r="Y148" s="1" t="s">
        <v>194</v>
      </c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ht="15" customHeight="1">
      <c r="A149" s="1">
        <v>148</v>
      </c>
      <c r="B149" s="31">
        <v>46147</v>
      </c>
      <c r="C149" s="1" t="s">
        <v>25</v>
      </c>
      <c r="E149" s="77" t="s">
        <v>464</v>
      </c>
      <c r="F149" s="1" t="s">
        <v>36</v>
      </c>
      <c r="G149" s="1" t="s">
        <v>465</v>
      </c>
      <c r="H149" s="1" t="s">
        <v>466</v>
      </c>
      <c r="I149" s="1" t="s">
        <v>467</v>
      </c>
      <c r="J149" s="1" t="s">
        <v>468</v>
      </c>
      <c r="M149" s="1">
        <v>3</v>
      </c>
      <c r="N149" s="1">
        <v>1</v>
      </c>
      <c r="O149" s="4">
        <v>29166.67</v>
      </c>
      <c r="P149" s="2">
        <v>31500</v>
      </c>
      <c r="Q149" s="4">
        <f>Table1[[#This Row],[Unit Price without SST]]*Table1[[#This Row],[No of Unit]]</f>
        <v>29166.67</v>
      </c>
      <c r="R149" s="5">
        <f>Table1[[#This Row],[Unit Price with SST 8%]]*Table1[[#This Row],[No of Unit]]</f>
        <v>31500</v>
      </c>
      <c r="S149" s="3">
        <f>Table1[[#This Row],[Total Price with SST 8%]]-Table1[[#This Row],[Total Price without SST]]</f>
        <v>2333.3300000000017</v>
      </c>
      <c r="U149" s="5">
        <f>Table1[[#This Row],[Total Price with SST 8%]]-(Table1[[#This Row],[Total Price with SST 8%]]*Table1[[#This Row],[Discount %]]/100)</f>
        <v>31500</v>
      </c>
      <c r="V149" s="5" t="s">
        <v>33</v>
      </c>
      <c r="W149" s="5"/>
      <c r="X149" s="5"/>
      <c r="Y149" s="1" t="s">
        <v>298</v>
      </c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ht="15" customHeight="1">
      <c r="A150" s="1">
        <v>149</v>
      </c>
      <c r="B150" s="31">
        <v>46148</v>
      </c>
      <c r="C150" s="1" t="s">
        <v>25</v>
      </c>
      <c r="E150" s="1" t="s">
        <v>469</v>
      </c>
      <c r="F150" s="1" t="s">
        <v>36</v>
      </c>
      <c r="G150" s="1" t="s">
        <v>470</v>
      </c>
      <c r="H150" s="1" t="s">
        <v>79</v>
      </c>
      <c r="I150" s="86" t="s">
        <v>471</v>
      </c>
      <c r="J150" s="1" t="s">
        <v>472</v>
      </c>
      <c r="M150" s="1">
        <v>3</v>
      </c>
      <c r="N150" s="1">
        <v>25</v>
      </c>
      <c r="O150" s="4">
        <v>600</v>
      </c>
      <c r="P150" s="2">
        <f>Table1[[#This Row],[Unit Price without SST]]*1.08</f>
        <v>648</v>
      </c>
      <c r="Q150" s="4">
        <f>Table1[[#This Row],[Unit Price without SST]]*Table1[[#This Row],[No of Unit]]*Table1[[#This Row],[Duration - Days]]</f>
        <v>45000</v>
      </c>
      <c r="R150" s="5">
        <f>Table1[[#This Row],[Unit Price with SST 8%]]*Table1[[#This Row],[No of Unit]]*Table1[[#This Row],[Duration - Days]]</f>
        <v>48600</v>
      </c>
      <c r="S150" s="3">
        <f>Table1[[#This Row],[Total Price with SST 8%]]-Table1[[#This Row],[Total Price without SST]]</f>
        <v>3600</v>
      </c>
      <c r="U150" s="5">
        <f>Table1[[#This Row],[Total Price with SST 8%]]-(Table1[[#This Row],[Total Price with SST 8%]]*Table1[[#This Row],[Discount %]]/100)</f>
        <v>48600</v>
      </c>
      <c r="V150" s="5"/>
      <c r="W150" s="5"/>
      <c r="X150" s="5"/>
      <c r="Y150" s="1" t="s">
        <v>405</v>
      </c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ht="15" customHeight="1">
      <c r="A151" s="1">
        <v>150</v>
      </c>
      <c r="B151" s="31">
        <v>46148</v>
      </c>
      <c r="C151" s="1" t="s">
        <v>200</v>
      </c>
      <c r="E151" s="1" t="s">
        <v>473</v>
      </c>
      <c r="F151" s="1" t="s">
        <v>202</v>
      </c>
      <c r="G151" s="1" t="s">
        <v>474</v>
      </c>
      <c r="H151" s="1" t="s">
        <v>194</v>
      </c>
      <c r="I151" s="1" t="s">
        <v>475</v>
      </c>
      <c r="J151" s="1" t="s">
        <v>476</v>
      </c>
      <c r="M151" s="1">
        <v>0.5</v>
      </c>
      <c r="N151" s="1">
        <v>2</v>
      </c>
      <c r="O151" s="4">
        <f>Table1[[#This Row],[Unit Price with SST 8%]]/1.08</f>
        <v>46.296296296296291</v>
      </c>
      <c r="P151" s="2">
        <v>50</v>
      </c>
      <c r="Q151" s="4">
        <f>Table1[[#This Row],[Unit Price without SST]]*Table1[[#This Row],[No of Unit]]</f>
        <v>92.592592592592581</v>
      </c>
      <c r="R151" s="5">
        <f>Table1[[#This Row],[Unit Price with SST 8%]]*Table1[[#This Row],[No of Unit]]</f>
        <v>100</v>
      </c>
      <c r="S151" s="3">
        <f>Table1[[#This Row],[Total Price with SST 8%]]-Table1[[#This Row],[Total Price without SST]]</f>
        <v>7.407407407407419</v>
      </c>
      <c r="U151" s="5">
        <f>Table1[[#This Row],[Total Price with SST 8%]]-(Table1[[#This Row],[Total Price with SST 8%]]*Table1[[#This Row],[Discount %]]/100)</f>
        <v>100</v>
      </c>
      <c r="V151" s="5"/>
      <c r="W151" s="5"/>
      <c r="X151" s="5"/>
      <c r="Y151" s="1" t="s">
        <v>194</v>
      </c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ht="15" customHeight="1">
      <c r="A152" s="1">
        <v>151</v>
      </c>
      <c r="B152" s="31">
        <v>46149</v>
      </c>
      <c r="C152" s="1" t="s">
        <v>25</v>
      </c>
      <c r="E152" s="1" t="s">
        <v>477</v>
      </c>
      <c r="F152" s="1" t="s">
        <v>36</v>
      </c>
      <c r="G152" s="1" t="s">
        <v>478</v>
      </c>
      <c r="H152" s="1" t="s">
        <v>79</v>
      </c>
      <c r="I152" s="1" t="s">
        <v>226</v>
      </c>
      <c r="J152" s="1" t="s">
        <v>479</v>
      </c>
      <c r="M152" s="1">
        <v>2</v>
      </c>
      <c r="N152" s="1">
        <v>1</v>
      </c>
      <c r="O152" s="4">
        <v>100</v>
      </c>
      <c r="P152" s="2">
        <f>Table1[[#This Row],[Unit Price without SST]]*1.08</f>
        <v>108</v>
      </c>
      <c r="Q152" s="4">
        <f>Table1[[#This Row],[Unit Price without SST]]*Table1[[#This Row],[No of Unit]]*Table1[[#This Row],[Duration - Days]]</f>
        <v>200</v>
      </c>
      <c r="R152" s="5">
        <f>Table1[[#This Row],[Unit Price with SST 8%]]*Table1[[#This Row],[No of Unit]]*Table1[[#This Row],[Duration - Days]]</f>
        <v>216</v>
      </c>
      <c r="S152" s="3">
        <f>Table1[[#This Row],[Total Price with SST 8%]]-Table1[[#This Row],[Total Price without SST]]</f>
        <v>16</v>
      </c>
      <c r="U152" s="5">
        <f>Table1[[#This Row],[Total Price with SST 8%]]-(Table1[[#This Row],[Total Price with SST 8%]]*Table1[[#This Row],[Discount %]]/100)</f>
        <v>216</v>
      </c>
      <c r="V152" s="5"/>
      <c r="W152" s="5"/>
      <c r="X152" s="5"/>
      <c r="Y152" s="1" t="s">
        <v>405</v>
      </c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ht="15" customHeight="1">
      <c r="A153" s="1">
        <v>152</v>
      </c>
      <c r="B153" s="31">
        <v>46150</v>
      </c>
      <c r="C153" s="1" t="s">
        <v>25</v>
      </c>
      <c r="E153" s="1" t="s">
        <v>480</v>
      </c>
      <c r="F153" s="1" t="s">
        <v>36</v>
      </c>
      <c r="G153" s="62" t="s">
        <v>116</v>
      </c>
      <c r="H153" s="1" t="s">
        <v>79</v>
      </c>
      <c r="I153" s="6" t="s">
        <v>481</v>
      </c>
      <c r="J153" s="1" t="s">
        <v>482</v>
      </c>
      <c r="M153" s="1">
        <v>2</v>
      </c>
      <c r="N153" s="1">
        <v>20</v>
      </c>
      <c r="O153" s="4">
        <v>1200</v>
      </c>
      <c r="P153" s="2">
        <f>Table1[[#This Row],[Unit Price without SST]]*1.08</f>
        <v>1296</v>
      </c>
      <c r="Q153" s="4">
        <f>Table1[[#This Row],[Unit Price without SST]]*Table1[[#This Row],[No of Unit]]</f>
        <v>24000</v>
      </c>
      <c r="R153" s="5">
        <f>Table1[[#This Row],[Unit Price with SST 8%]]*Table1[[#This Row],[No of Unit]]</f>
        <v>25920</v>
      </c>
      <c r="S153" s="3">
        <f>Table1[[#This Row],[Total Price with SST 8%]]-Table1[[#This Row],[Total Price without SST]]</f>
        <v>1920</v>
      </c>
      <c r="U153" s="5">
        <f>Table1[[#This Row],[Total Price with SST 8%]]-(Table1[[#This Row],[Total Price with SST 8%]]*Table1[[#This Row],[Discount %]]/100)</f>
        <v>25920</v>
      </c>
      <c r="V153" s="5" t="s">
        <v>33</v>
      </c>
      <c r="W153" s="5"/>
      <c r="X153" s="5"/>
      <c r="Y153" s="1" t="s">
        <v>405</v>
      </c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ht="15" customHeight="1">
      <c r="A154" s="1">
        <v>153</v>
      </c>
      <c r="B154" s="31">
        <v>46150</v>
      </c>
      <c r="C154" s="1" t="s">
        <v>25</v>
      </c>
      <c r="E154" s="1" t="s">
        <v>483</v>
      </c>
      <c r="F154" s="1" t="s">
        <v>36</v>
      </c>
      <c r="G154" s="62" t="s">
        <v>116</v>
      </c>
      <c r="H154" s="1" t="s">
        <v>79</v>
      </c>
      <c r="I154" s="6" t="s">
        <v>481</v>
      </c>
      <c r="J154" s="1" t="s">
        <v>482</v>
      </c>
      <c r="M154" s="1">
        <v>2</v>
      </c>
      <c r="N154" s="1">
        <v>20</v>
      </c>
      <c r="O154" s="4">
        <f>Table1[[#This Row],[Unit Price with SST 8%]]/1.08</f>
        <v>722.5925925925925</v>
      </c>
      <c r="P154" s="2">
        <v>780.4</v>
      </c>
      <c r="Q154" s="4">
        <f>Table1[[#This Row],[Unit Price without SST]]*Table1[[#This Row],[No of Unit]]</f>
        <v>14451.85185185185</v>
      </c>
      <c r="R154" s="5">
        <f>Table1[[#This Row],[Unit Price with SST 8%]]*Table1[[#This Row],[No of Unit]]</f>
        <v>15608</v>
      </c>
      <c r="S154" s="3">
        <f>Table1[[#This Row],[Total Price with SST 8%]]-Table1[[#This Row],[Total Price without SST]]</f>
        <v>1156.1481481481496</v>
      </c>
      <c r="U154" s="5">
        <f>Table1[[#This Row],[Total Price with SST 8%]]-(Table1[[#This Row],[Total Price with SST 8%]]*Table1[[#This Row],[Discount %]]/100)</f>
        <v>15608</v>
      </c>
      <c r="V154" s="5"/>
      <c r="W154" s="5"/>
      <c r="X154" s="5"/>
      <c r="Y154" s="1" t="s">
        <v>405</v>
      </c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ht="15" customHeight="1">
      <c r="A155" s="1">
        <v>154</v>
      </c>
      <c r="B155" s="31">
        <v>46147</v>
      </c>
      <c r="C155" s="1" t="s">
        <v>25</v>
      </c>
      <c r="E155" s="77" t="s">
        <v>484</v>
      </c>
      <c r="F155" s="1" t="s">
        <v>36</v>
      </c>
      <c r="G155" s="1" t="s">
        <v>465</v>
      </c>
      <c r="H155" s="1" t="s">
        <v>466</v>
      </c>
      <c r="I155" s="1" t="s">
        <v>485</v>
      </c>
      <c r="J155" s="1" t="s">
        <v>468</v>
      </c>
      <c r="M155" s="1">
        <v>1</v>
      </c>
      <c r="N155" s="1">
        <v>1</v>
      </c>
      <c r="O155" s="4">
        <v>9660</v>
      </c>
      <c r="P155" s="2">
        <v>10500</v>
      </c>
      <c r="Q155" s="4">
        <f>Table1[[#This Row],[Unit Price without SST]]*Table1[[#This Row],[No of Unit]]</f>
        <v>9660</v>
      </c>
      <c r="R155" s="5">
        <f>Table1[[#This Row],[Unit Price with SST 8%]]*Table1[[#This Row],[No of Unit]]</f>
        <v>10500</v>
      </c>
      <c r="S155" s="3">
        <f>Table1[[#This Row],[Total Price with SST 8%]]-Table1[[#This Row],[Total Price without SST]]</f>
        <v>840</v>
      </c>
      <c r="U155" s="5">
        <f>Table1[[#This Row],[Total Price with SST 8%]]-(Table1[[#This Row],[Total Price with SST 8%]]*Table1[[#This Row],[Discount %]]/100)</f>
        <v>10500</v>
      </c>
      <c r="V155" s="5" t="s">
        <v>33</v>
      </c>
      <c r="W155" s="5"/>
      <c r="X155" s="5"/>
      <c r="Y155" s="1" t="s">
        <v>298</v>
      </c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ht="15" customHeight="1">
      <c r="A156" s="1">
        <v>155</v>
      </c>
      <c r="B156" s="31">
        <v>46147</v>
      </c>
      <c r="C156" s="1" t="s">
        <v>25</v>
      </c>
      <c r="E156" s="77" t="s">
        <v>486</v>
      </c>
      <c r="F156" s="1" t="s">
        <v>36</v>
      </c>
      <c r="G156" s="1" t="s">
        <v>465</v>
      </c>
      <c r="H156" s="1" t="s">
        <v>466</v>
      </c>
      <c r="I156" s="1" t="s">
        <v>487</v>
      </c>
      <c r="J156" s="1" t="s">
        <v>468</v>
      </c>
      <c r="M156" s="1">
        <v>2</v>
      </c>
      <c r="N156" s="1">
        <v>1</v>
      </c>
      <c r="O156" s="4">
        <v>17480</v>
      </c>
      <c r="P156" s="2">
        <v>19000</v>
      </c>
      <c r="Q156" s="4">
        <f>Table1[[#This Row],[Unit Price without SST]]*Table1[[#This Row],[No of Unit]]</f>
        <v>17480</v>
      </c>
      <c r="R156" s="5">
        <f>Table1[[#This Row],[Unit Price with SST 8%]]*Table1[[#This Row],[No of Unit]]</f>
        <v>19000</v>
      </c>
      <c r="S156" s="3">
        <f>Table1[[#This Row],[Total Price with SST 8%]]-Table1[[#This Row],[Total Price without SST]]</f>
        <v>1520</v>
      </c>
      <c r="U156" s="5">
        <f>Table1[[#This Row],[Total Price with SST 8%]]-(Table1[[#This Row],[Total Price with SST 8%]]*Table1[[#This Row],[Discount %]]/100)</f>
        <v>19000</v>
      </c>
      <c r="V156" s="5" t="s">
        <v>33</v>
      </c>
      <c r="W156" s="5"/>
      <c r="X156" s="5"/>
      <c r="Y156" s="1" t="s">
        <v>298</v>
      </c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ht="15" customHeight="1">
      <c r="A157" s="1">
        <v>156</v>
      </c>
      <c r="B157" s="31">
        <v>46239</v>
      </c>
      <c r="C157" s="1" t="s">
        <v>25</v>
      </c>
      <c r="E157" s="77" t="s">
        <v>488</v>
      </c>
      <c r="F157" s="1" t="s">
        <v>36</v>
      </c>
      <c r="G157" s="1" t="s">
        <v>489</v>
      </c>
      <c r="H157" s="1" t="s">
        <v>128</v>
      </c>
      <c r="I157" s="1" t="s">
        <v>490</v>
      </c>
      <c r="J157" s="1" t="s">
        <v>491</v>
      </c>
      <c r="M157" s="1">
        <v>2</v>
      </c>
      <c r="O157" s="4">
        <v>21000</v>
      </c>
      <c r="P157" s="2">
        <v>22680</v>
      </c>
      <c r="Q157" s="4">
        <v>21000</v>
      </c>
      <c r="R157" s="5">
        <f>Table1[[#This Row],[Unit Price with SST 8%]]*Table1[[#This Row],[No of Unit]]</f>
        <v>0</v>
      </c>
      <c r="S157" s="3">
        <f>Table1[[#This Row],[Total Price with SST 8%]]-Table1[[#This Row],[Total Price without SST]]</f>
        <v>-21000</v>
      </c>
      <c r="U157" s="5">
        <v>22680</v>
      </c>
      <c r="V157" s="5" t="s">
        <v>33</v>
      </c>
      <c r="W157" s="5"/>
      <c r="X157" s="5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ht="15" customHeight="1">
      <c r="A158" s="1">
        <v>157</v>
      </c>
      <c r="B158" s="31">
        <v>46239</v>
      </c>
      <c r="C158" s="1" t="s">
        <v>25</v>
      </c>
      <c r="E158" s="77" t="s">
        <v>492</v>
      </c>
      <c r="F158" s="1" t="s">
        <v>36</v>
      </c>
      <c r="G158" s="1" t="s">
        <v>489</v>
      </c>
      <c r="H158" s="1" t="s">
        <v>128</v>
      </c>
      <c r="I158" s="1" t="s">
        <v>493</v>
      </c>
      <c r="J158" s="1" t="s">
        <v>491</v>
      </c>
      <c r="M158" s="1">
        <v>2</v>
      </c>
      <c r="O158" s="4">
        <v>21000</v>
      </c>
      <c r="P158" s="2">
        <v>22680</v>
      </c>
      <c r="Q158" s="4">
        <v>21000</v>
      </c>
      <c r="R158" s="5">
        <f>Table1[[#This Row],[Unit Price with SST 8%]]*Table1[[#This Row],[No of Unit]]</f>
        <v>0</v>
      </c>
      <c r="S158" s="3">
        <f>Table1[[#This Row],[Total Price with SST 8%]]-Table1[[#This Row],[Total Price without SST]]</f>
        <v>-21000</v>
      </c>
      <c r="U158" s="5">
        <v>22680</v>
      </c>
      <c r="V158" s="5" t="s">
        <v>33</v>
      </c>
      <c r="W158" s="5"/>
      <c r="X158" s="5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ht="15" customHeight="1">
      <c r="A159" s="1">
        <v>158</v>
      </c>
      <c r="B159" s="31">
        <v>46331</v>
      </c>
      <c r="C159" s="1" t="s">
        <v>25</v>
      </c>
      <c r="E159" s="77" t="s">
        <v>494</v>
      </c>
      <c r="F159" s="1" t="s">
        <v>36</v>
      </c>
      <c r="G159" s="1" t="s">
        <v>495</v>
      </c>
      <c r="H159" s="1" t="s">
        <v>466</v>
      </c>
      <c r="I159" s="1" t="s">
        <v>496</v>
      </c>
      <c r="J159" s="1" t="s">
        <v>497</v>
      </c>
      <c r="M159" s="1">
        <v>2</v>
      </c>
      <c r="N159" s="1">
        <v>1</v>
      </c>
      <c r="O159" s="4">
        <f>Table1[[#This Row],[Unit Price with SST 8%]]/1.08</f>
        <v>8796.2962962962956</v>
      </c>
      <c r="P159" s="2">
        <v>9500</v>
      </c>
      <c r="Q159" s="4">
        <f>Table1[[#This Row],[Unit Price without SST]]*Table1[[#This Row],[No of Unit]]</f>
        <v>8796.2962962962956</v>
      </c>
      <c r="R159" s="5">
        <f>Table1[[#This Row],[Unit Price with SST 8%]]*Table1[[#This Row],[No of Unit]]</f>
        <v>9500</v>
      </c>
      <c r="S159" s="3">
        <f>Table1[[#This Row],[Total Price with SST 8%]]-Table1[[#This Row],[Total Price without SST]]</f>
        <v>703.70370370370438</v>
      </c>
      <c r="U159" s="5">
        <f>Table1[[#This Row],[Total Price with SST 8%]]-(Table1[[#This Row],[Total Price with SST 8%]]*Table1[[#This Row],[Discount %]]/100)</f>
        <v>9500</v>
      </c>
      <c r="V159" s="5" t="s">
        <v>33</v>
      </c>
      <c r="W159" s="5"/>
      <c r="X159" s="5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ht="15" customHeight="1">
      <c r="A160" s="1">
        <v>159</v>
      </c>
      <c r="B160" s="31">
        <v>46155</v>
      </c>
      <c r="C160" s="59" t="s">
        <v>25</v>
      </c>
      <c r="D160" s="28"/>
      <c r="E160" s="77" t="s">
        <v>498</v>
      </c>
      <c r="F160" s="59" t="s">
        <v>36</v>
      </c>
      <c r="G160" s="28" t="s">
        <v>399</v>
      </c>
      <c r="H160" s="1" t="s">
        <v>79</v>
      </c>
      <c r="I160" s="1" t="s">
        <v>226</v>
      </c>
      <c r="J160" s="1" t="s">
        <v>499</v>
      </c>
      <c r="M160" s="1">
        <v>2</v>
      </c>
      <c r="N160" s="1">
        <v>30</v>
      </c>
      <c r="O160" s="4">
        <v>933.33</v>
      </c>
      <c r="P160" s="2">
        <f>Table1[[#This Row],[Unit Price without SST]]*1.08</f>
        <v>1007.9964000000001</v>
      </c>
      <c r="Q160" s="4">
        <f>Table1[[#This Row],[Unit Price without SST]]*Table1[[#This Row],[No of Unit]]</f>
        <v>27999.9</v>
      </c>
      <c r="R160" s="5">
        <f>Table1[[#This Row],[Unit Price with SST 8%]]*Table1[[#This Row],[No of Unit]]</f>
        <v>30239.892000000003</v>
      </c>
      <c r="S160" s="3">
        <f>Table1[[#This Row],[Total Price with SST 8%]]-Table1[[#This Row],[Total Price without SST]]</f>
        <v>2239.992000000002</v>
      </c>
      <c r="U160" s="5">
        <f>Table1[[#This Row],[Total Price with SST 8%]]-(Table1[[#This Row],[Total Price with SST 8%]]*Table1[[#This Row],[Discount %]]/100)</f>
        <v>30239.892000000003</v>
      </c>
      <c r="V160" s="5" t="s">
        <v>33</v>
      </c>
      <c r="W160" s="5"/>
      <c r="X160" s="5"/>
      <c r="Y160" s="1" t="s">
        <v>405</v>
      </c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ht="15" customHeight="1">
      <c r="A161" s="1">
        <v>160</v>
      </c>
      <c r="B161" s="31">
        <v>46155</v>
      </c>
      <c r="C161" s="59" t="s">
        <v>25</v>
      </c>
      <c r="D161" s="28"/>
      <c r="E161" s="77" t="s">
        <v>500</v>
      </c>
      <c r="F161" s="59" t="s">
        <v>36</v>
      </c>
      <c r="G161" s="28" t="s">
        <v>399</v>
      </c>
      <c r="H161" s="1" t="s">
        <v>79</v>
      </c>
      <c r="I161" s="1" t="s">
        <v>226</v>
      </c>
      <c r="J161" s="1" t="s">
        <v>499</v>
      </c>
      <c r="M161" s="1">
        <v>2</v>
      </c>
      <c r="N161" s="1">
        <v>30</v>
      </c>
      <c r="O161" s="4">
        <f>Table1[[#This Row],[Unit Price with SST 8%]]/1.08</f>
        <v>864.19444444444446</v>
      </c>
      <c r="P161" s="4">
        <v>933.33</v>
      </c>
      <c r="Q161" s="4">
        <f>Table1[[#This Row],[Unit Price without SST]]*Table1[[#This Row],[No of Unit]]</f>
        <v>25925.833333333332</v>
      </c>
      <c r="R161" s="5">
        <f>Table1[[#This Row],[Unit Price with SST 8%]]*Table1[[#This Row],[No of Unit]]</f>
        <v>27999.9</v>
      </c>
      <c r="S161" s="3">
        <f>Table1[[#This Row],[Total Price with SST 8%]]-Table1[[#This Row],[Total Price without SST]]</f>
        <v>2074.0666666666693</v>
      </c>
      <c r="U161" s="5">
        <f>Table1[[#This Row],[Total Price with SST 8%]]-(Table1[[#This Row],[Total Price with SST 8%]]*Table1[[#This Row],[Discount %]]/100)</f>
        <v>27999.9</v>
      </c>
      <c r="V161" s="5"/>
      <c r="W161" s="5"/>
      <c r="X161" s="5"/>
      <c r="Y161" s="1" t="s">
        <v>405</v>
      </c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ht="15" customHeight="1">
      <c r="A162" s="1">
        <v>161</v>
      </c>
      <c r="B162" s="30" t="s">
        <v>501</v>
      </c>
      <c r="C162" s="1" t="s">
        <v>25</v>
      </c>
      <c r="E162" s="77" t="s">
        <v>502</v>
      </c>
      <c r="F162" s="1" t="s">
        <v>36</v>
      </c>
      <c r="G162" s="1" t="s">
        <v>503</v>
      </c>
      <c r="H162" s="1" t="s">
        <v>128</v>
      </c>
      <c r="I162" s="1" t="s">
        <v>490</v>
      </c>
      <c r="J162" s="1" t="s">
        <v>504</v>
      </c>
      <c r="M162" s="1">
        <v>2</v>
      </c>
      <c r="O162" s="4">
        <v>21000</v>
      </c>
      <c r="P162" s="2"/>
      <c r="Q162" s="4">
        <v>21000</v>
      </c>
      <c r="R162" s="5">
        <f>Table1[[#This Row],[Unit Price with SST 8%]]*Table1[[#This Row],[No of Unit]]</f>
        <v>0</v>
      </c>
      <c r="S162" s="3">
        <f>Table1[[#This Row],[Total Price with SST 8%]]-Table1[[#This Row],[Total Price without SST]]</f>
        <v>-21000</v>
      </c>
      <c r="U162" s="5">
        <v>22680</v>
      </c>
      <c r="V162" s="5"/>
      <c r="W162" s="5"/>
      <c r="X162" s="5"/>
      <c r="Y162" s="1" t="s">
        <v>128</v>
      </c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ht="15" customHeight="1">
      <c r="A163" s="1">
        <v>162</v>
      </c>
      <c r="B163" s="30" t="s">
        <v>501</v>
      </c>
      <c r="C163" s="1" t="s">
        <v>25</v>
      </c>
      <c r="E163" s="77" t="s">
        <v>505</v>
      </c>
      <c r="F163" s="1" t="s">
        <v>36</v>
      </c>
      <c r="G163" s="1" t="s">
        <v>503</v>
      </c>
      <c r="H163" s="1" t="s">
        <v>128</v>
      </c>
      <c r="I163" s="1" t="s">
        <v>493</v>
      </c>
      <c r="J163" s="1" t="s">
        <v>504</v>
      </c>
      <c r="M163" s="1">
        <v>2</v>
      </c>
      <c r="O163" s="4">
        <v>21000</v>
      </c>
      <c r="P163" s="2"/>
      <c r="Q163" s="4">
        <v>21000</v>
      </c>
      <c r="R163" s="5">
        <f>Table1[[#This Row],[Unit Price with SST 8%]]*Table1[[#This Row],[No of Unit]]</f>
        <v>0</v>
      </c>
      <c r="S163" s="3">
        <f>Table1[[#This Row],[Total Price with SST 8%]]-Table1[[#This Row],[Total Price without SST]]</f>
        <v>-21000</v>
      </c>
      <c r="U163" s="5">
        <v>22680</v>
      </c>
      <c r="V163" s="5"/>
      <c r="W163" s="5"/>
      <c r="X163" s="5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ht="15" customHeight="1">
      <c r="A164" s="1">
        <v>163</v>
      </c>
      <c r="B164" s="30" t="s">
        <v>501</v>
      </c>
      <c r="C164" s="1" t="s">
        <v>25</v>
      </c>
      <c r="E164" s="77" t="s">
        <v>506</v>
      </c>
      <c r="F164" s="1" t="s">
        <v>36</v>
      </c>
      <c r="G164" s="1" t="s">
        <v>507</v>
      </c>
      <c r="H164" s="1" t="s">
        <v>194</v>
      </c>
      <c r="I164" s="1" t="s">
        <v>226</v>
      </c>
      <c r="J164" s="1" t="s">
        <v>508</v>
      </c>
      <c r="M164" s="1">
        <v>2</v>
      </c>
      <c r="N164" s="1">
        <v>1</v>
      </c>
      <c r="O164" s="4">
        <f>Table1[[#This Row],[Unit Price with SST 8%]]/1.08</f>
        <v>19444.444444444442</v>
      </c>
      <c r="P164" s="2">
        <f>21000</f>
        <v>21000</v>
      </c>
      <c r="Q164" s="4">
        <f>Table1[[#This Row],[Unit Price without SST]]*Table1[[#This Row],[No of Unit]]</f>
        <v>19444.444444444442</v>
      </c>
      <c r="R164" s="5">
        <f>Table1[[#This Row],[Unit Price with SST 8%]]*Table1[[#This Row],[No of Unit]]</f>
        <v>21000</v>
      </c>
      <c r="S164" s="3">
        <f>Table1[[#This Row],[Total Price with SST 8%]]-Table1[[#This Row],[Total Price without SST]]</f>
        <v>1555.5555555555584</v>
      </c>
      <c r="U164" s="5">
        <f>Table1[[#This Row],[Total Price with SST 8%]]-(Table1[[#This Row],[Total Price with SST 8%]]*Table1[[#This Row],[Discount %]]/100)</f>
        <v>21000</v>
      </c>
      <c r="V164" s="5"/>
      <c r="W164" s="5"/>
      <c r="X164" s="5"/>
      <c r="Y164" s="1" t="s">
        <v>194</v>
      </c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ht="15" customHeight="1">
      <c r="A165" s="1">
        <v>164</v>
      </c>
      <c r="B165" s="30" t="s">
        <v>501</v>
      </c>
      <c r="C165" s="1" t="s">
        <v>25</v>
      </c>
      <c r="E165" s="77" t="s">
        <v>509</v>
      </c>
      <c r="F165" s="1" t="s">
        <v>36</v>
      </c>
      <c r="G165" s="1" t="s">
        <v>510</v>
      </c>
      <c r="H165" s="1" t="s">
        <v>194</v>
      </c>
      <c r="I165" s="1" t="s">
        <v>226</v>
      </c>
      <c r="J165" s="1" t="s">
        <v>511</v>
      </c>
      <c r="M165" s="1">
        <v>2</v>
      </c>
      <c r="N165" s="1">
        <v>1</v>
      </c>
      <c r="O165" s="4">
        <f>Table1[[#This Row],[Unit Price with SST 8%]]/1.08</f>
        <v>19444.444444444442</v>
      </c>
      <c r="P165" s="2">
        <v>21000</v>
      </c>
      <c r="Q165" s="4">
        <f>Table1[[#This Row],[Unit Price without SST]]*Table1[[#This Row],[No of Unit]]</f>
        <v>19444.444444444442</v>
      </c>
      <c r="R165" s="5">
        <f>Table1[[#This Row],[Unit Price with SST 8%]]*Table1[[#This Row],[No of Unit]]</f>
        <v>21000</v>
      </c>
      <c r="S165" s="3">
        <f>Table1[[#This Row],[Total Price with SST 8%]]-Table1[[#This Row],[Total Price without SST]]</f>
        <v>1555.5555555555584</v>
      </c>
      <c r="U165" s="5">
        <f>Table1[[#This Row],[Total Price with SST 8%]]-(Table1[[#This Row],[Total Price with SST 8%]]*Table1[[#This Row],[Discount %]]/100)</f>
        <v>21000</v>
      </c>
      <c r="V165" s="5"/>
      <c r="W165" s="5"/>
      <c r="X165" s="5"/>
      <c r="Y165" s="1" t="s">
        <v>194</v>
      </c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ht="15" customHeight="1">
      <c r="A166" s="1">
        <v>165</v>
      </c>
      <c r="B166" s="30" t="s">
        <v>501</v>
      </c>
      <c r="C166" s="15" t="s">
        <v>25</v>
      </c>
      <c r="D166" s="15" t="s">
        <v>25</v>
      </c>
      <c r="E166" s="77" t="s">
        <v>512</v>
      </c>
      <c r="F166" s="15" t="s">
        <v>36</v>
      </c>
      <c r="G166" s="15" t="s">
        <v>513</v>
      </c>
      <c r="H166" s="15" t="s">
        <v>194</v>
      </c>
      <c r="I166" s="15" t="s">
        <v>326</v>
      </c>
      <c r="J166" s="15" t="s">
        <v>182</v>
      </c>
      <c r="K166" s="15"/>
      <c r="L166" s="15"/>
      <c r="M166" s="15">
        <v>5</v>
      </c>
      <c r="N166" s="15">
        <v>10</v>
      </c>
      <c r="O166" s="16">
        <f>Table1[[#This Row],[Unit Price with SST 8%]]/1.08</f>
        <v>4165.7407407407409</v>
      </c>
      <c r="P166" s="17">
        <v>4499</v>
      </c>
      <c r="Q166" s="16">
        <f>Table1[[#This Row],[Unit Price without SST]]*Table1[[#This Row],[No of Unit]]</f>
        <v>41657.407407407409</v>
      </c>
      <c r="R166" s="18">
        <f>Table1[[#This Row],[Unit Price with SST 8%]]*Table1[[#This Row],[No of Unit]]</f>
        <v>44990</v>
      </c>
      <c r="S166" s="19">
        <f>Table1[[#This Row],[Total Price with SST 8%]]-Table1[[#This Row],[Total Price without SST]]</f>
        <v>3332.5925925925912</v>
      </c>
      <c r="T166" s="15"/>
      <c r="U166" s="18">
        <f>Table1[[#This Row],[Total Price with SST 8%]]-(Table1[[#This Row],[Total Price with SST 8%]]*Table1[[#This Row],[Discount %]]/100)</f>
        <v>44990</v>
      </c>
      <c r="V166" s="5" t="s">
        <v>33</v>
      </c>
      <c r="W166" s="5"/>
      <c r="X166" s="5"/>
      <c r="Y166" s="1" t="s">
        <v>194</v>
      </c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ht="15" customHeight="1">
      <c r="A167" s="1">
        <v>166</v>
      </c>
      <c r="B167" s="30" t="s">
        <v>514</v>
      </c>
      <c r="C167" s="15" t="s">
        <v>25</v>
      </c>
      <c r="D167" s="15" t="s">
        <v>25</v>
      </c>
      <c r="E167" s="77" t="s">
        <v>515</v>
      </c>
      <c r="F167" s="15" t="s">
        <v>36</v>
      </c>
      <c r="G167" s="1" t="s">
        <v>516</v>
      </c>
      <c r="H167" s="1" t="s">
        <v>194</v>
      </c>
      <c r="I167" s="1" t="s">
        <v>517</v>
      </c>
      <c r="J167" s="1" t="s">
        <v>518</v>
      </c>
      <c r="M167" s="1">
        <v>2</v>
      </c>
      <c r="N167" s="1">
        <v>30</v>
      </c>
      <c r="O167" s="4">
        <f>Table1[[#This Row],[Unit Price with SST 8%]]/1.08</f>
        <v>277.77777777777777</v>
      </c>
      <c r="P167" s="2">
        <v>300</v>
      </c>
      <c r="Q167" s="4">
        <f>Table1[[#This Row],[Unit Price without SST]]*Table1[[#This Row],[No of Unit]]</f>
        <v>8333.3333333333339</v>
      </c>
      <c r="R167" s="5">
        <f>Table1[[#This Row],[Unit Price with SST 8%]]*Table1[[#This Row],[No of Unit]]</f>
        <v>9000</v>
      </c>
      <c r="S167" s="3">
        <f>Table1[[#This Row],[Total Price with SST 8%]]-Table1[[#This Row],[Total Price without SST]]</f>
        <v>666.66666666666606</v>
      </c>
      <c r="U167" s="5">
        <f>Table1[[#This Row],[Total Price with SST 8%]]-(Table1[[#This Row],[Total Price with SST 8%]]*Table1[[#This Row],[Discount %]]/100)</f>
        <v>9000</v>
      </c>
      <c r="V167" s="5" t="s">
        <v>33</v>
      </c>
      <c r="W167" s="5"/>
      <c r="X167" s="5"/>
      <c r="Y167" s="1" t="s">
        <v>194</v>
      </c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ht="15" customHeight="1">
      <c r="A168" s="1">
        <v>167</v>
      </c>
      <c r="B168" s="30" t="s">
        <v>519</v>
      </c>
      <c r="C168" s="1" t="s">
        <v>25</v>
      </c>
      <c r="D168" s="1" t="s">
        <v>25</v>
      </c>
      <c r="E168" s="1" t="s">
        <v>520</v>
      </c>
      <c r="F168" s="1" t="s">
        <v>36</v>
      </c>
      <c r="G168" s="84" t="s">
        <v>521</v>
      </c>
      <c r="M168" s="1">
        <v>2</v>
      </c>
      <c r="N168" s="1">
        <v>20</v>
      </c>
      <c r="O168" s="4">
        <f>Table1[[#This Row],[Unit Price with SST 8%]]/1.08</f>
        <v>458.33333333333331</v>
      </c>
      <c r="P168" s="2">
        <v>495</v>
      </c>
      <c r="Q168" s="4">
        <f>Table1[[#This Row],[Unit Price without SST]]*Table1[[#This Row],[No of Unit]]*Table1[[#This Row],[Duration - Days]]</f>
        <v>18333.333333333332</v>
      </c>
      <c r="R168" s="5">
        <f>Table1[[#This Row],[Unit Price with SST 8%]]*Table1[[#This Row],[No of Unit]]*Table1[[#This Row],[Duration - Days]]</f>
        <v>19800</v>
      </c>
      <c r="S168" s="3">
        <f>Table1[[#This Row],[Total Price with SST 8%]]-Table1[[#This Row],[Total Price without SST]]</f>
        <v>1466.6666666666679</v>
      </c>
      <c r="U168" s="5">
        <f>Table1[[#This Row],[Total Price with SST 8%]]-(Table1[[#This Row],[Total Price with SST 8%]]*Table1[[#This Row],[Discount %]]/100)</f>
        <v>19800</v>
      </c>
      <c r="V168" s="5"/>
      <c r="W168" s="5"/>
      <c r="X168" s="5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ht="15" customHeight="1">
      <c r="A169" s="1">
        <v>168</v>
      </c>
      <c r="B169" s="83">
        <v>46087</v>
      </c>
      <c r="C169" s="84" t="s">
        <v>25</v>
      </c>
      <c r="D169" t="s">
        <v>522</v>
      </c>
      <c r="E169" s="1" t="s">
        <v>523</v>
      </c>
      <c r="F169" s="1" t="s">
        <v>36</v>
      </c>
      <c r="G169" s="84" t="s">
        <v>78</v>
      </c>
      <c r="H169" s="1" t="s">
        <v>79</v>
      </c>
      <c r="I169" s="23" t="s">
        <v>80</v>
      </c>
      <c r="J169" s="15" t="s">
        <v>78</v>
      </c>
      <c r="M169" s="23">
        <v>2</v>
      </c>
      <c r="N169" s="23">
        <v>25</v>
      </c>
      <c r="O169" s="24">
        <f>Table1[[#This Row],[Unit Price with SST 8%]]/1.08</f>
        <v>444.4444444444444</v>
      </c>
      <c r="P169" s="25">
        <v>480</v>
      </c>
      <c r="Q169" s="24">
        <f>Table1[[#This Row],[Unit Price without SST]]*Table1[[#This Row],[No of Unit]]</f>
        <v>11111.111111111109</v>
      </c>
      <c r="R169" s="5">
        <f>Table1[[#This Row],[Unit Price with SST 8%]]*Table1[[#This Row],[No of Unit]]</f>
        <v>12000</v>
      </c>
      <c r="S169" s="3">
        <f>Table1[[#This Row],[Total Price with SST 8%]]-Table1[[#This Row],[Total Price without SST]]</f>
        <v>888.88888888889051</v>
      </c>
      <c r="U169" s="5">
        <f>Table1[[#This Row],[Total Price with SST 8%]]-(Table1[[#This Row],[Total Price with SST 8%]]*Table1[[#This Row],[Discount %]]/100)</f>
        <v>12000</v>
      </c>
      <c r="V169" s="5" t="s">
        <v>33</v>
      </c>
      <c r="W169" s="5"/>
      <c r="X169" s="5"/>
      <c r="Y169" s="1" t="s">
        <v>405</v>
      </c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ht="15" customHeight="1">
      <c r="A170" s="1">
        <v>169</v>
      </c>
      <c r="B170" s="83">
        <v>46087</v>
      </c>
      <c r="C170" s="84" t="s">
        <v>25</v>
      </c>
      <c r="D170" t="s">
        <v>522</v>
      </c>
      <c r="E170" s="1" t="s">
        <v>524</v>
      </c>
      <c r="F170" s="1" t="s">
        <v>36</v>
      </c>
      <c r="G170" s="84" t="s">
        <v>78</v>
      </c>
      <c r="H170" s="1" t="s">
        <v>79</v>
      </c>
      <c r="I170" s="1" t="s">
        <v>83</v>
      </c>
      <c r="J170" s="15" t="s">
        <v>78</v>
      </c>
      <c r="M170" s="1">
        <v>3</v>
      </c>
      <c r="N170" s="1">
        <v>25</v>
      </c>
      <c r="O170" s="4">
        <f>Table1[[#This Row],[Unit Price with SST 8%]]/1.08</f>
        <v>666.66666666666663</v>
      </c>
      <c r="P170" s="2">
        <v>720</v>
      </c>
      <c r="Q170" s="4">
        <f>Table1[[#This Row],[Unit Price without SST]]*Table1[[#This Row],[No of Unit]]</f>
        <v>16666.666666666664</v>
      </c>
      <c r="R170" s="5">
        <f>Table1[[#This Row],[Unit Price with SST 8%]]*Table1[[#This Row],[No of Unit]]</f>
        <v>18000</v>
      </c>
      <c r="S170" s="3">
        <f>Table1[[#This Row],[Total Price with SST 8%]]-Table1[[#This Row],[Total Price without SST]]</f>
        <v>1333.3333333333358</v>
      </c>
      <c r="U170" s="5">
        <f>Table1[[#This Row],[Total Price with SST 8%]]-(Table1[[#This Row],[Total Price with SST 8%]]*Table1[[#This Row],[Discount %]]/100)</f>
        <v>18000</v>
      </c>
      <c r="V170" s="5" t="s">
        <v>33</v>
      </c>
      <c r="W170" s="5"/>
      <c r="X170" s="5"/>
      <c r="Y170" s="1" t="s">
        <v>405</v>
      </c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ht="15" customHeight="1">
      <c r="A171" s="1">
        <v>170</v>
      </c>
      <c r="B171" s="83">
        <v>46087</v>
      </c>
      <c r="C171" s="84" t="s">
        <v>25</v>
      </c>
      <c r="D171" t="s">
        <v>522</v>
      </c>
      <c r="E171" s="1" t="s">
        <v>525</v>
      </c>
      <c r="F171" s="1" t="s">
        <v>36</v>
      </c>
      <c r="G171" s="84" t="s">
        <v>78</v>
      </c>
      <c r="H171" s="1" t="s">
        <v>79</v>
      </c>
      <c r="I171" s="1" t="s">
        <v>85</v>
      </c>
      <c r="J171" s="15" t="s">
        <v>78</v>
      </c>
      <c r="M171" s="1">
        <v>4</v>
      </c>
      <c r="N171" s="1">
        <v>25</v>
      </c>
      <c r="O171" s="4">
        <f>Table1[[#This Row],[Unit Price with SST 8%]]/1.08</f>
        <v>888.8888888888888</v>
      </c>
      <c r="P171" s="2">
        <v>960</v>
      </c>
      <c r="Q171" s="4">
        <f>Table1[[#This Row],[Unit Price without SST]]*Table1[[#This Row],[No of Unit]]</f>
        <v>22222.222222222219</v>
      </c>
      <c r="R171" s="5">
        <f>Table1[[#This Row],[Unit Price with SST 8%]]*Table1[[#This Row],[No of Unit]]</f>
        <v>24000</v>
      </c>
      <c r="S171" s="3">
        <f>Table1[[#This Row],[Total Price with SST 8%]]-Table1[[#This Row],[Total Price without SST]]</f>
        <v>1777.777777777781</v>
      </c>
      <c r="U171" s="5">
        <f>Table1[[#This Row],[Total Price with SST 8%]]-(Table1[[#This Row],[Total Price with SST 8%]]*Table1[[#This Row],[Discount %]]/100)</f>
        <v>24000</v>
      </c>
      <c r="V171" s="5" t="s">
        <v>33</v>
      </c>
      <c r="W171" s="5"/>
      <c r="X171" s="5"/>
      <c r="Y171" s="1" t="s">
        <v>405</v>
      </c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ht="15" customHeight="1">
      <c r="A172" s="1">
        <v>171</v>
      </c>
      <c r="B172" s="83">
        <v>46087</v>
      </c>
      <c r="C172" s="84" t="s">
        <v>25</v>
      </c>
      <c r="D172" t="s">
        <v>522</v>
      </c>
      <c r="E172" s="1" t="s">
        <v>526</v>
      </c>
      <c r="F172" s="1" t="s">
        <v>36</v>
      </c>
      <c r="G172" s="84" t="s">
        <v>78</v>
      </c>
      <c r="H172" s="1" t="s">
        <v>79</v>
      </c>
      <c r="I172" s="1" t="s">
        <v>87</v>
      </c>
      <c r="J172" s="15" t="s">
        <v>78</v>
      </c>
      <c r="M172" s="1">
        <v>1</v>
      </c>
      <c r="N172" s="1">
        <v>25</v>
      </c>
      <c r="O172" s="4">
        <f>Table1[[#This Row],[Unit Price with SST 8%]]/1.08</f>
        <v>222.2222222222222</v>
      </c>
      <c r="P172" s="2">
        <v>240</v>
      </c>
      <c r="Q172" s="4">
        <f>Table1[[#This Row],[Unit Price without SST]]*Table1[[#This Row],[No of Unit]]</f>
        <v>5555.5555555555547</v>
      </c>
      <c r="R172" s="5">
        <f>Table1[[#This Row],[Unit Price with SST 8%]]*Table1[[#This Row],[No of Unit]]</f>
        <v>6000</v>
      </c>
      <c r="S172" s="3">
        <f>Table1[[#This Row],[Total Price with SST 8%]]-Table1[[#This Row],[Total Price without SST]]</f>
        <v>444.44444444444525</v>
      </c>
      <c r="U172" s="5">
        <f>Table1[[#This Row],[Total Price with SST 8%]]-(Table1[[#This Row],[Total Price with SST 8%]]*Table1[[#This Row],[Discount %]]/100)</f>
        <v>6000</v>
      </c>
      <c r="V172" s="5" t="s">
        <v>33</v>
      </c>
      <c r="W172" s="5"/>
      <c r="X172" s="5"/>
      <c r="Y172" s="1" t="s">
        <v>405</v>
      </c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ht="15" customHeight="1">
      <c r="A173" s="1">
        <v>172</v>
      </c>
      <c r="B173" s="83">
        <v>46087</v>
      </c>
      <c r="C173" s="84" t="s">
        <v>25</v>
      </c>
      <c r="D173" t="s">
        <v>522</v>
      </c>
      <c r="E173" s="1" t="s">
        <v>527</v>
      </c>
      <c r="F173" s="1" t="s">
        <v>36</v>
      </c>
      <c r="G173" s="84" t="s">
        <v>78</v>
      </c>
      <c r="H173" s="1" t="s">
        <v>79</v>
      </c>
      <c r="I173" s="1" t="s">
        <v>89</v>
      </c>
      <c r="J173" s="15" t="s">
        <v>78</v>
      </c>
      <c r="M173" s="1">
        <v>2</v>
      </c>
      <c r="N173" s="1">
        <v>25</v>
      </c>
      <c r="O173" s="4">
        <f>Table1[[#This Row],[Unit Price with SST 8%]]/1.08</f>
        <v>444.4444444444444</v>
      </c>
      <c r="P173" s="2">
        <v>480</v>
      </c>
      <c r="Q173" s="4">
        <f>Table1[[#This Row],[Unit Price without SST]]*Table1[[#This Row],[No of Unit]]</f>
        <v>11111.111111111109</v>
      </c>
      <c r="R173" s="5">
        <f>Table1[[#This Row],[Unit Price with SST 8%]]*Table1[[#This Row],[No of Unit]]</f>
        <v>12000</v>
      </c>
      <c r="S173" s="3">
        <f>Table1[[#This Row],[Total Price with SST 8%]]-Table1[[#This Row],[Total Price without SST]]</f>
        <v>888.88888888889051</v>
      </c>
      <c r="U173" s="5">
        <f>Table1[[#This Row],[Total Price with SST 8%]]-(Table1[[#This Row],[Total Price with SST 8%]]*Table1[[#This Row],[Discount %]]/100)</f>
        <v>12000</v>
      </c>
      <c r="V173" s="5" t="s">
        <v>33</v>
      </c>
      <c r="W173" s="5"/>
      <c r="X173" s="5"/>
      <c r="Y173" s="1" t="s">
        <v>405</v>
      </c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ht="15" customHeight="1">
      <c r="A174" s="1">
        <v>173</v>
      </c>
      <c r="B174" s="83">
        <v>46118</v>
      </c>
      <c r="C174" s="84" t="s">
        <v>25</v>
      </c>
      <c r="D174" t="s">
        <v>522</v>
      </c>
      <c r="E174" s="77" t="s">
        <v>522</v>
      </c>
      <c r="F174" s="1" t="s">
        <v>36</v>
      </c>
      <c r="G174" s="84" t="s">
        <v>528</v>
      </c>
      <c r="H174" s="1" t="s">
        <v>79</v>
      </c>
      <c r="I174" s="1" t="s">
        <v>226</v>
      </c>
      <c r="J174" s="1" t="s">
        <v>529</v>
      </c>
      <c r="M174" s="1">
        <v>2</v>
      </c>
      <c r="N174" s="1">
        <v>25</v>
      </c>
      <c r="O174" s="4">
        <v>840</v>
      </c>
      <c r="P174" s="2">
        <f>Table1[[#This Row],[Unit Price without SST]]*1.08</f>
        <v>907.2</v>
      </c>
      <c r="Q174" s="4">
        <f>Table1[[#This Row],[Unit Price without SST]]*Table1[[#This Row],[No of Unit]]</f>
        <v>21000</v>
      </c>
      <c r="R174" s="5">
        <f>Table1[[#This Row],[Unit Price with SST 8%]]*Table1[[#This Row],[No of Unit]]</f>
        <v>22680</v>
      </c>
      <c r="S174" s="3">
        <f>Table1[[#This Row],[Total Price with SST 8%]]-Table1[[#This Row],[Total Price without SST]]</f>
        <v>1680</v>
      </c>
      <c r="U174" s="5">
        <f>Table1[[#This Row],[Total Price with SST 8%]]-(Table1[[#This Row],[Total Price with SST 8%]]*Table1[[#This Row],[Discount %]]/100)</f>
        <v>22680</v>
      </c>
      <c r="V174" s="5"/>
      <c r="W174" s="5"/>
      <c r="X174" s="5"/>
      <c r="Y174" s="1" t="s">
        <v>405</v>
      </c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ht="15" customHeight="1">
      <c r="A175" s="1">
        <v>174</v>
      </c>
      <c r="B175" s="83">
        <v>46118</v>
      </c>
      <c r="C175" s="1" t="s">
        <v>200</v>
      </c>
      <c r="E175" s="77" t="s">
        <v>530</v>
      </c>
      <c r="F175" s="1" t="s">
        <v>36</v>
      </c>
      <c r="G175" s="1" t="s">
        <v>531</v>
      </c>
      <c r="H175" s="1" t="s">
        <v>79</v>
      </c>
      <c r="I175" s="1" t="s">
        <v>475</v>
      </c>
      <c r="J175" s="1" t="s">
        <v>532</v>
      </c>
      <c r="M175" s="1">
        <v>1</v>
      </c>
      <c r="N175" s="1">
        <v>2</v>
      </c>
      <c r="O175" s="4">
        <v>500</v>
      </c>
      <c r="P175" s="2">
        <f>Table1[[#This Row],[Unit Price without SST]]</f>
        <v>500</v>
      </c>
      <c r="Q175" s="4">
        <f>Table1[[#This Row],[Unit Price without SST]]*Table1[[#This Row],[No of Unit]]</f>
        <v>1000</v>
      </c>
      <c r="R175" s="5">
        <f>Table1[[#This Row],[Unit Price with SST 8%]]*Table1[[#This Row],[No of Unit]]</f>
        <v>1000</v>
      </c>
      <c r="S175" s="3">
        <f>Table1[[#This Row],[Total Price with SST 8%]]-Table1[[#This Row],[Total Price without SST]]</f>
        <v>0</v>
      </c>
      <c r="U175" s="5">
        <f>Table1[[#This Row],[Total Price with SST 8%]]-(Table1[[#This Row],[Total Price with SST 8%]]*Table1[[#This Row],[Discount %]]/100)</f>
        <v>1000</v>
      </c>
      <c r="V175" s="5"/>
      <c r="W175" s="5"/>
      <c r="X175" s="5"/>
      <c r="Y175" s="1" t="s">
        <v>405</v>
      </c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ht="15" customHeight="1">
      <c r="A176" s="1">
        <v>175</v>
      </c>
      <c r="B176" s="31">
        <v>46182</v>
      </c>
      <c r="C176" s="59" t="s">
        <v>25</v>
      </c>
      <c r="D176" s="28"/>
      <c r="E176" s="77" t="s">
        <v>533</v>
      </c>
      <c r="F176" s="59" t="s">
        <v>36</v>
      </c>
      <c r="G176" s="28" t="s">
        <v>399</v>
      </c>
      <c r="H176" s="1" t="s">
        <v>79</v>
      </c>
      <c r="I176" s="1" t="s">
        <v>534</v>
      </c>
      <c r="J176" s="1" t="s">
        <v>499</v>
      </c>
      <c r="M176" s="1">
        <v>2</v>
      </c>
      <c r="N176" s="1">
        <v>30</v>
      </c>
      <c r="O176" s="4">
        <f>Table1[[#This Row],[Unit Price with SST 8%]]/1.08</f>
        <v>864.19444444444446</v>
      </c>
      <c r="P176" s="2">
        <v>933.33</v>
      </c>
      <c r="Q176" s="4">
        <f>Table1[[#This Row],[Unit Price without SST]]*Table1[[#This Row],[No of Unit]]</f>
        <v>25925.833333333332</v>
      </c>
      <c r="R176" s="5">
        <f>Table1[[#This Row],[Unit Price with SST 8%]]*Table1[[#This Row],[No of Unit]]</f>
        <v>27999.9</v>
      </c>
      <c r="S176" s="3">
        <f>Table1[[#This Row],[Total Price with SST 8%]]-Table1[[#This Row],[Total Price without SST]]</f>
        <v>2074.0666666666693</v>
      </c>
      <c r="U176" s="5">
        <f>Table1[[#This Row],[Total Price with SST 8%]]-(Table1[[#This Row],[Total Price with SST 8%]]*Table1[[#This Row],[Discount %]]/100)</f>
        <v>27999.9</v>
      </c>
      <c r="V176" s="5"/>
      <c r="W176" s="5"/>
      <c r="X176" s="5"/>
      <c r="Y176" s="1" t="s">
        <v>405</v>
      </c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ht="15" customHeight="1">
      <c r="A177" s="1">
        <v>176</v>
      </c>
      <c r="B177" s="31">
        <v>46182</v>
      </c>
      <c r="C177" s="59" t="s">
        <v>25</v>
      </c>
      <c r="D177" s="28"/>
      <c r="E177" s="77" t="s">
        <v>535</v>
      </c>
      <c r="F177" s="59" t="s">
        <v>36</v>
      </c>
      <c r="G177" s="28" t="s">
        <v>536</v>
      </c>
      <c r="H177" s="1" t="s">
        <v>79</v>
      </c>
      <c r="I177" s="1" t="s">
        <v>537</v>
      </c>
      <c r="J177" s="1" t="s">
        <v>538</v>
      </c>
      <c r="M177" s="1">
        <v>1</v>
      </c>
      <c r="N177" s="1">
        <v>10</v>
      </c>
      <c r="O177" s="4">
        <v>10500</v>
      </c>
      <c r="P177" s="2">
        <f>Table1[[#This Row],[Unit Price without SST]]*1.08</f>
        <v>11340</v>
      </c>
      <c r="Q177" s="4">
        <f>Table1[[#This Row],[Unit Price without SST]]</f>
        <v>10500</v>
      </c>
      <c r="R177" s="5">
        <f>Table1[[#This Row],[Unit Price with SST 8%]]</f>
        <v>11340</v>
      </c>
      <c r="S177" s="3">
        <f>Table1[[#This Row],[Total Price with SST 8%]]-Table1[[#This Row],[Total Price without SST]]</f>
        <v>840</v>
      </c>
      <c r="U177" s="5">
        <f>Table1[[#This Row],[Total Price with SST 8%]]-(Table1[[#This Row],[Total Price with SST 8%]]*Table1[[#This Row],[Discount %]]/100)</f>
        <v>11340</v>
      </c>
      <c r="V177" s="5"/>
      <c r="W177" s="5"/>
      <c r="X177" s="5"/>
      <c r="Y177" s="1" t="s">
        <v>405</v>
      </c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ht="15" customHeight="1">
      <c r="A178" s="1">
        <v>177</v>
      </c>
      <c r="B178" s="31">
        <v>46182</v>
      </c>
      <c r="C178" s="59" t="s">
        <v>25</v>
      </c>
      <c r="D178" s="28"/>
      <c r="E178" s="77" t="s">
        <v>539</v>
      </c>
      <c r="F178" s="59" t="s">
        <v>36</v>
      </c>
      <c r="G178" s="28" t="s">
        <v>540</v>
      </c>
      <c r="H178" s="1" t="s">
        <v>79</v>
      </c>
      <c r="I178" s="1" t="s">
        <v>230</v>
      </c>
      <c r="J178" s="1" t="s">
        <v>541</v>
      </c>
      <c r="M178" s="1">
        <v>5</v>
      </c>
      <c r="N178" s="1">
        <v>15</v>
      </c>
      <c r="O178" s="4">
        <v>2000</v>
      </c>
      <c r="P178" s="2">
        <f>Table1[[#This Row],[Unit Price without SST]]*1.08</f>
        <v>2160</v>
      </c>
      <c r="Q178" s="4">
        <f>Table1[[#This Row],[Unit Price without SST]]*Table1[[#This Row],[No of Unit]]</f>
        <v>30000</v>
      </c>
      <c r="R178" s="5">
        <f>Table1[[#This Row],[Unit Price with SST 8%]]*Table1[[#This Row],[No of Unit]]</f>
        <v>32400</v>
      </c>
      <c r="S178" s="3">
        <f>Table1[[#This Row],[Total Price with SST 8%]]-Table1[[#This Row],[Total Price without SST]]</f>
        <v>2400</v>
      </c>
      <c r="U178" s="5">
        <f>Table1[[#This Row],[Total Price with SST 8%]]-(Table1[[#This Row],[Total Price with SST 8%]]*Table1[[#This Row],[Discount %]]/100)</f>
        <v>32400</v>
      </c>
      <c r="V178" s="5"/>
      <c r="W178" s="5"/>
      <c r="X178" s="5"/>
      <c r="Y178" s="1" t="s">
        <v>405</v>
      </c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ht="15" customHeight="1">
      <c r="A179" s="1">
        <v>178</v>
      </c>
      <c r="B179" s="31">
        <v>46183</v>
      </c>
      <c r="C179" s="59" t="s">
        <v>25</v>
      </c>
      <c r="E179" s="77" t="s">
        <v>542</v>
      </c>
      <c r="F179" s="59" t="s">
        <v>36</v>
      </c>
      <c r="G179" s="28" t="s">
        <v>540</v>
      </c>
      <c r="H179" s="1" t="s">
        <v>79</v>
      </c>
      <c r="I179" s="1" t="s">
        <v>543</v>
      </c>
      <c r="J179" s="1" t="s">
        <v>541</v>
      </c>
      <c r="M179" s="1">
        <v>1</v>
      </c>
      <c r="N179" s="1">
        <v>1</v>
      </c>
      <c r="O179" s="87">
        <v>31000</v>
      </c>
      <c r="P179" s="2">
        <f>Table1[[#This Row],[Unit Price without SST]]*1.08</f>
        <v>33480</v>
      </c>
      <c r="Q179" s="4">
        <f>Table1[[#This Row],[Unit Price without SST]]*Table1[[#This Row],[No of Unit]]</f>
        <v>31000</v>
      </c>
      <c r="R179" s="5">
        <f>Table1[[#This Row],[Unit Price with SST 8%]]*Table1[[#This Row],[No of Unit]]</f>
        <v>33480</v>
      </c>
      <c r="S179" s="3">
        <f>Table1[[#This Row],[Total Price with SST 8%]]-Table1[[#This Row],[Total Price without SST]]</f>
        <v>2480</v>
      </c>
      <c r="U179" s="5">
        <f>Table1[[#This Row],[Total Price with SST 8%]]-(Table1[[#This Row],[Total Price with SST 8%]]*Table1[[#This Row],[Discount %]]/100)</f>
        <v>33480</v>
      </c>
      <c r="V179" s="5"/>
      <c r="W179" s="5"/>
      <c r="X179" s="5"/>
      <c r="Y179" s="1" t="s">
        <v>405</v>
      </c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ht="15" customHeight="1">
      <c r="A180" s="1">
        <v>179</v>
      </c>
      <c r="B180" s="31">
        <v>46183</v>
      </c>
      <c r="C180" s="1" t="s">
        <v>200</v>
      </c>
      <c r="E180" s="77" t="s">
        <v>544</v>
      </c>
      <c r="F180" s="1" t="s">
        <v>292</v>
      </c>
      <c r="G180" s="1" t="s">
        <v>545</v>
      </c>
      <c r="H180" s="1" t="s">
        <v>215</v>
      </c>
      <c r="I180" s="1" t="s">
        <v>546</v>
      </c>
      <c r="J180" s="1" t="s">
        <v>547</v>
      </c>
      <c r="M180" s="1">
        <v>1</v>
      </c>
      <c r="N180" s="1">
        <v>45</v>
      </c>
      <c r="O180" s="4">
        <f>Table1[[#This Row],[Unit Price with SST 8%]]/1.08</f>
        <v>5.1440370370370365</v>
      </c>
      <c r="P180" s="2">
        <v>5.5555599999999998</v>
      </c>
      <c r="Q180" s="4">
        <f>Table1[[#This Row],[Unit Price without SST]]*Table1[[#This Row],[No of Unit]]</f>
        <v>231.48166666666665</v>
      </c>
      <c r="R180" s="5">
        <f>Table1[[#This Row],[Unit Price with SST 8%]]*Table1[[#This Row],[No of Unit]]</f>
        <v>250.00020000000001</v>
      </c>
      <c r="S180" s="3">
        <f>Table1[[#This Row],[Total Price with SST 8%]]-Table1[[#This Row],[Total Price without SST]]</f>
        <v>18.518533333333352</v>
      </c>
      <c r="U180" s="5">
        <f>Table1[[#This Row],[Total Price with SST 8%]]-(Table1[[#This Row],[Total Price with SST 8%]]*Table1[[#This Row],[Discount %]]/100)</f>
        <v>250.00020000000001</v>
      </c>
      <c r="V180" s="5" t="s">
        <v>33</v>
      </c>
      <c r="W180" s="5"/>
      <c r="X180" s="5"/>
      <c r="Y180" s="1" t="s">
        <v>194</v>
      </c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ht="15" customHeight="1">
      <c r="A181" s="1">
        <v>180</v>
      </c>
      <c r="B181" s="31">
        <v>46184</v>
      </c>
      <c r="C181" s="1" t="s">
        <v>25</v>
      </c>
      <c r="E181" s="77" t="s">
        <v>548</v>
      </c>
      <c r="F181" s="1" t="s">
        <v>36</v>
      </c>
      <c r="G181" s="1" t="s">
        <v>213</v>
      </c>
      <c r="H181" s="1" t="s">
        <v>194</v>
      </c>
      <c r="I181" s="1" t="s">
        <v>549</v>
      </c>
      <c r="J181" s="1" t="s">
        <v>215</v>
      </c>
      <c r="M181" s="1">
        <v>2</v>
      </c>
      <c r="N181" s="1">
        <v>30</v>
      </c>
      <c r="O181" s="4">
        <f>Table1[[#This Row],[Unit Price with SST 8%]]/1.08</f>
        <v>648.14814814814815</v>
      </c>
      <c r="P181" s="2">
        <v>700</v>
      </c>
      <c r="Q181" s="4">
        <f>Table1[[#This Row],[Unit Price without SST]]*Table1[[#This Row],[No of Unit]]</f>
        <v>19444.444444444445</v>
      </c>
      <c r="R181" s="5">
        <f>Table1[[#This Row],[Unit Price with SST 8%]]*Table1[[#This Row],[No of Unit]]</f>
        <v>21000</v>
      </c>
      <c r="S181" s="3">
        <f>Table1[[#This Row],[Total Price with SST 8%]]-Table1[[#This Row],[Total Price without SST]]</f>
        <v>1555.5555555555547</v>
      </c>
      <c r="U181" s="5">
        <f>Table1[[#This Row],[Total Price with SST 8%]]-(Table1[[#This Row],[Total Price with SST 8%]]*Table1[[#This Row],[Discount %]]/100)</f>
        <v>21000</v>
      </c>
      <c r="V181" s="5" t="s">
        <v>33</v>
      </c>
      <c r="W181" s="5"/>
      <c r="X181" s="5"/>
      <c r="Y181" s="1" t="s">
        <v>194</v>
      </c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ht="15" customHeight="1">
      <c r="A182" s="1">
        <v>181</v>
      </c>
      <c r="B182" s="31">
        <v>46188</v>
      </c>
      <c r="C182" s="59" t="s">
        <v>25</v>
      </c>
      <c r="D182" s="28"/>
      <c r="E182" s="77" t="s">
        <v>550</v>
      </c>
      <c r="F182" s="59" t="s">
        <v>36</v>
      </c>
      <c r="G182" s="28" t="s">
        <v>399</v>
      </c>
      <c r="H182" s="1" t="s">
        <v>79</v>
      </c>
      <c r="I182" s="1" t="s">
        <v>534</v>
      </c>
      <c r="J182" s="1" t="s">
        <v>499</v>
      </c>
      <c r="M182" s="1">
        <v>2</v>
      </c>
      <c r="N182" s="1">
        <v>30</v>
      </c>
      <c r="O182" s="4">
        <f>Table1[[#This Row],[Unit Price with SST 8%]]/1.08</f>
        <v>432.08333333333326</v>
      </c>
      <c r="P182" s="4">
        <v>466.65</v>
      </c>
      <c r="Q182" s="4">
        <f>Table1[[#This Row],[Unit Price without SST]]*Table1[[#This Row],[No of Unit]]*Table1[[#This Row],[Duration - Days]]</f>
        <v>25924.999999999996</v>
      </c>
      <c r="R182" s="5">
        <f>Table1[[#This Row],[Unit Price with SST 8%]]*Table1[[#This Row],[No of Unit]]*Table1[[#This Row],[Duration - Days]]</f>
        <v>27999</v>
      </c>
      <c r="S182" s="3">
        <f>Table1[[#This Row],[Total Price with SST 8%]]-Table1[[#This Row],[Total Price without SST]]</f>
        <v>2074.0000000000036</v>
      </c>
      <c r="U182" s="5">
        <f>Table1[[#This Row],[Total Price with SST 8%]]-(Table1[[#This Row],[Total Price with SST 8%]]*Table1[[#This Row],[Discount %]]/100)</f>
        <v>27999</v>
      </c>
      <c r="V182" s="5"/>
      <c r="W182" s="5"/>
      <c r="X182" s="5"/>
      <c r="Y182" s="1" t="s">
        <v>405</v>
      </c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ht="15" customHeight="1">
      <c r="A183" s="1">
        <v>182</v>
      </c>
      <c r="B183" s="31">
        <v>46188</v>
      </c>
      <c r="C183" s="1" t="s">
        <v>25</v>
      </c>
      <c r="E183" s="77" t="s">
        <v>551</v>
      </c>
      <c r="F183" s="1" t="s">
        <v>36</v>
      </c>
      <c r="G183" s="1" t="s">
        <v>552</v>
      </c>
      <c r="H183" s="1" t="s">
        <v>215</v>
      </c>
      <c r="I183" s="1" t="s">
        <v>351</v>
      </c>
      <c r="J183" s="1" t="s">
        <v>553</v>
      </c>
      <c r="M183" s="1">
        <v>1</v>
      </c>
      <c r="N183" s="1">
        <v>74</v>
      </c>
      <c r="O183" s="4">
        <v>40</v>
      </c>
      <c r="P183" s="2">
        <v>40</v>
      </c>
      <c r="Q183" s="4">
        <f>Table1[[#This Row],[Unit Price without SST]]*Table1[[#This Row],[No of Unit]]</f>
        <v>2960</v>
      </c>
      <c r="R183" s="5">
        <f>Table1[[#This Row],[Unit Price with SST 8%]]*Table1[[#This Row],[No of Unit]]</f>
        <v>2960</v>
      </c>
      <c r="S183" s="3">
        <f>Table1[[#This Row],[Total Price with SST 8%]]-Table1[[#This Row],[Total Price without SST]]</f>
        <v>0</v>
      </c>
      <c r="U183" s="5">
        <f>Table1[[#This Row],[Total Price with SST 8%]]-(Table1[[#This Row],[Total Price with SST 8%]]*Table1[[#This Row],[Discount %]]/100)</f>
        <v>2960</v>
      </c>
      <c r="V183" s="5" t="s">
        <v>33</v>
      </c>
      <c r="W183" s="5"/>
      <c r="X183" s="5"/>
      <c r="Y183" s="1" t="s">
        <v>194</v>
      </c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ht="15" customHeight="1">
      <c r="A184" s="1">
        <v>183</v>
      </c>
      <c r="B184" s="31">
        <v>46188</v>
      </c>
      <c r="C184" s="1" t="s">
        <v>25</v>
      </c>
      <c r="E184" s="1" t="s">
        <v>554</v>
      </c>
      <c r="F184" s="1" t="s">
        <v>36</v>
      </c>
      <c r="G184" s="1" t="s">
        <v>470</v>
      </c>
      <c r="H184" s="1" t="s">
        <v>79</v>
      </c>
      <c r="I184" s="86" t="s">
        <v>471</v>
      </c>
      <c r="J184" s="1" t="s">
        <v>472</v>
      </c>
      <c r="M184" s="1">
        <v>4</v>
      </c>
      <c r="N184" s="1">
        <v>20</v>
      </c>
      <c r="O184" s="4">
        <v>600</v>
      </c>
      <c r="P184" s="2">
        <f>Table1[[#This Row],[Unit Price without SST]]*1.08</f>
        <v>648</v>
      </c>
      <c r="Q184" s="4">
        <f>Table1[[#This Row],[Unit Price without SST]]*Table1[[#This Row],[No of Unit]]*Table1[[#This Row],[Duration - Days]]</f>
        <v>48000</v>
      </c>
      <c r="R184" s="5">
        <f>Table1[[#This Row],[Unit Price with SST 8%]]*Table1[[#This Row],[No of Unit]]*Table1[[#This Row],[Duration - Days]]</f>
        <v>51840</v>
      </c>
      <c r="S184" s="3">
        <f>Table1[[#This Row],[Total Price with SST 8%]]-Table1[[#This Row],[Total Price without SST]]</f>
        <v>3840</v>
      </c>
      <c r="U184" s="5">
        <f>Table1[[#This Row],[Total Price with SST 8%]]-(Table1[[#This Row],[Total Price with SST 8%]]*Table1[[#This Row],[Discount %]]/100)</f>
        <v>51840</v>
      </c>
      <c r="V184" s="5"/>
      <c r="W184" s="5"/>
      <c r="X184" s="5"/>
      <c r="Y184" s="1" t="s">
        <v>405</v>
      </c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ht="15" customHeight="1">
      <c r="A185" s="1">
        <v>184</v>
      </c>
      <c r="B185" s="31">
        <v>46189</v>
      </c>
      <c r="C185" s="1" t="s">
        <v>25</v>
      </c>
      <c r="E185" s="1" t="s">
        <v>555</v>
      </c>
      <c r="F185" s="1" t="s">
        <v>36</v>
      </c>
      <c r="G185" s="1" t="s">
        <v>470</v>
      </c>
      <c r="H185" s="1" t="s">
        <v>79</v>
      </c>
      <c r="I185" s="86" t="s">
        <v>471</v>
      </c>
      <c r="J185" s="1" t="s">
        <v>472</v>
      </c>
      <c r="M185" s="1">
        <v>4</v>
      </c>
      <c r="N185" s="1">
        <v>20</v>
      </c>
      <c r="O185" s="4">
        <f>Table1[[#This Row],[Unit Price with SST 8%]]/1.08</f>
        <v>572.91666666666663</v>
      </c>
      <c r="P185" s="2">
        <v>618.75</v>
      </c>
      <c r="Q185" s="4">
        <f>Table1[[#This Row],[Unit Price without SST]]*Table1[[#This Row],[No of Unit]]*Table1[[#This Row],[Duration - Days]]</f>
        <v>45833.333333333328</v>
      </c>
      <c r="R185" s="5">
        <f>Table1[[#This Row],[Unit Price with SST 8%]]*Table1[[#This Row],[No of Unit]]*Table1[[#This Row],[Duration - Days]]</f>
        <v>49500</v>
      </c>
      <c r="S185" s="3">
        <f>Table1[[#This Row],[Total Price with SST 8%]]-Table1[[#This Row],[Total Price without SST]]</f>
        <v>3666.6666666666715</v>
      </c>
      <c r="U185" s="5">
        <f>Table1[[#This Row],[Total Price with SST 8%]]-(Table1[[#This Row],[Total Price with SST 8%]]*Table1[[#This Row],[Discount %]]/100)</f>
        <v>49500</v>
      </c>
      <c r="V185" s="5"/>
      <c r="W185" s="5"/>
      <c r="X185" s="5"/>
      <c r="Y185" s="1" t="s">
        <v>405</v>
      </c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s="28" customFormat="1" ht="15" customHeight="1">
      <c r="A186" s="1">
        <v>185</v>
      </c>
      <c r="B186" s="85">
        <v>46189</v>
      </c>
      <c r="C186" s="28" t="s">
        <v>25</v>
      </c>
      <c r="E186" s="77" t="s">
        <v>556</v>
      </c>
      <c r="F186" s="28" t="s">
        <v>36</v>
      </c>
      <c r="G186" s="28" t="s">
        <v>557</v>
      </c>
      <c r="H186" s="28" t="s">
        <v>466</v>
      </c>
      <c r="I186" s="60" t="s">
        <v>558</v>
      </c>
      <c r="J186" s="28" t="s">
        <v>559</v>
      </c>
      <c r="M186" s="28">
        <v>5</v>
      </c>
      <c r="N186" s="28">
        <v>12</v>
      </c>
      <c r="O186" s="63">
        <v>1705.2</v>
      </c>
      <c r="P186" s="64">
        <v>1841.616</v>
      </c>
      <c r="Q186" s="63">
        <f>Table1[[#This Row],[Unit Price without SST]]*Table1[[#This Row],[No of Unit]]*Table1[[#This Row],[Duration - Days]]</f>
        <v>102312</v>
      </c>
      <c r="R186" s="65">
        <f>Table1[[#This Row],[Unit Price with SST 8%]]*Table1[[#This Row],[No of Unit]]*Table1[[#This Row],[Duration - Days]]</f>
        <v>110496.95999999999</v>
      </c>
      <c r="S186" s="66">
        <f>Table1[[#This Row],[Total Price with SST 8%]]-Table1[[#This Row],[Total Price without SST]]</f>
        <v>8184.9599999999919</v>
      </c>
      <c r="U186" s="65">
        <f>Table1[[#This Row],[Total Price with SST 8%]]-(Table1[[#This Row],[Total Price with SST 8%]]*Table1[[#This Row],[Discount %]]/100)</f>
        <v>110496.95999999999</v>
      </c>
      <c r="V186" s="65"/>
      <c r="W186" s="65"/>
      <c r="X186" s="65"/>
    </row>
    <row r="187" spans="1:49" ht="15" customHeight="1">
      <c r="A187" s="1">
        <v>186</v>
      </c>
      <c r="B187" s="85">
        <v>46189</v>
      </c>
      <c r="C187" s="1" t="s">
        <v>25</v>
      </c>
      <c r="E187" s="77" t="s">
        <v>556</v>
      </c>
      <c r="F187" s="1" t="s">
        <v>36</v>
      </c>
      <c r="G187" s="1" t="s">
        <v>557</v>
      </c>
      <c r="H187" s="1" t="s">
        <v>466</v>
      </c>
      <c r="I187" s="60" t="s">
        <v>558</v>
      </c>
      <c r="J187" s="1" t="s">
        <v>559</v>
      </c>
      <c r="M187" s="1">
        <v>10</v>
      </c>
      <c r="N187" s="1">
        <v>12</v>
      </c>
      <c r="O187" s="4">
        <v>2030</v>
      </c>
      <c r="P187" s="2">
        <v>2192.4</v>
      </c>
      <c r="Q187" s="4">
        <f>Table1[[#This Row],[Unit Price without SST]]*Table1[[#This Row],[No of Unit]]*Table1[[#This Row],[Duration - Days]]</f>
        <v>243600</v>
      </c>
      <c r="R187" s="5">
        <f>Table1[[#This Row],[Unit Price with SST 8%]]*Table1[[#This Row],[No of Unit]]*Table1[[#This Row],[Duration - Days]]</f>
        <v>263088</v>
      </c>
      <c r="S187" s="3">
        <f>Table1[[#This Row],[Total Price with SST 8%]]-Table1[[#This Row],[Total Price without SST]]</f>
        <v>19488</v>
      </c>
      <c r="U187" s="5">
        <f>Table1[[#This Row],[Total Price with SST 8%]]-(Table1[[#This Row],[Total Price with SST 8%]]*Table1[[#This Row],[Discount %]]/100)</f>
        <v>263088</v>
      </c>
      <c r="V187" s="5"/>
      <c r="W187" s="5"/>
      <c r="X187" s="5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ht="15" customHeight="1">
      <c r="A188" s="1">
        <v>187</v>
      </c>
      <c r="B188" s="31">
        <v>46190</v>
      </c>
      <c r="C188" s="1" t="s">
        <v>25</v>
      </c>
      <c r="E188" s="77" t="s">
        <v>560</v>
      </c>
      <c r="F188" s="1" t="s">
        <v>36</v>
      </c>
      <c r="G188" s="1" t="s">
        <v>561</v>
      </c>
      <c r="H188" s="1" t="s">
        <v>194</v>
      </c>
      <c r="I188" s="1" t="s">
        <v>562</v>
      </c>
      <c r="J188" s="1" t="s">
        <v>563</v>
      </c>
      <c r="M188" s="1">
        <v>10</v>
      </c>
      <c r="N188" s="1">
        <v>1</v>
      </c>
      <c r="O188" s="4">
        <f>Table1[[#This Row],[Unit Price with SST 8%]]/1.08</f>
        <v>28877.8</v>
      </c>
      <c r="P188" s="2">
        <f>28877.8*1.08</f>
        <v>31188.024000000001</v>
      </c>
      <c r="Q188" s="4">
        <f>Table1[[#This Row],[Unit Price without SST]]*Table1[[#This Row],[No of Unit]]</f>
        <v>28877.8</v>
      </c>
      <c r="R188" s="5">
        <f>Table1[[#This Row],[Unit Price with SST 8%]]*Table1[[#This Row],[No of Unit]]</f>
        <v>31188.024000000001</v>
      </c>
      <c r="S188" s="3">
        <f>Table1[[#This Row],[Total Price with SST 8%]]-Table1[[#This Row],[Total Price without SST]]</f>
        <v>2310.224000000002</v>
      </c>
      <c r="U188" s="5">
        <f>Table1[[#This Row],[Total Price with SST 8%]]-(Table1[[#This Row],[Total Price with SST 8%]]*Table1[[#This Row],[Discount %]]/100)</f>
        <v>31188.024000000001</v>
      </c>
      <c r="V188" s="5" t="s">
        <v>33</v>
      </c>
      <c r="W188" s="5"/>
      <c r="X188" s="5"/>
      <c r="Y188" s="1" t="s">
        <v>194</v>
      </c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ht="15" customHeight="1">
      <c r="A189" s="1">
        <v>188</v>
      </c>
      <c r="B189" s="31">
        <v>46190</v>
      </c>
      <c r="C189" s="1" t="s">
        <v>25</v>
      </c>
      <c r="E189" s="77" t="s">
        <v>564</v>
      </c>
      <c r="F189" s="1" t="s">
        <v>36</v>
      </c>
      <c r="G189" s="1" t="s">
        <v>561</v>
      </c>
      <c r="H189" s="1" t="s">
        <v>194</v>
      </c>
      <c r="I189" s="1" t="s">
        <v>562</v>
      </c>
      <c r="J189" s="1" t="s">
        <v>563</v>
      </c>
      <c r="M189" s="1">
        <v>10</v>
      </c>
      <c r="N189" s="1">
        <v>2</v>
      </c>
      <c r="O189" s="4">
        <f>Table1[[#This Row],[Unit Price with SST 8%]]/1.08</f>
        <v>21905.85</v>
      </c>
      <c r="P189" s="2">
        <f>21905.85*1.08</f>
        <v>23658.317999999999</v>
      </c>
      <c r="Q189" s="4">
        <f>Table1[[#This Row],[Unit Price without SST]]*Table1[[#This Row],[No of Unit]]</f>
        <v>43811.7</v>
      </c>
      <c r="R189" s="5">
        <f>Table1[[#This Row],[Unit Price with SST 8%]]*Table1[[#This Row],[No of Unit]]</f>
        <v>47316.635999999999</v>
      </c>
      <c r="S189" s="3">
        <f>Table1[[#This Row],[Total Price with SST 8%]]-Table1[[#This Row],[Total Price without SST]]</f>
        <v>3504.9360000000015</v>
      </c>
      <c r="U189" s="5">
        <f>Table1[[#This Row],[Total Price with SST 8%]]-(Table1[[#This Row],[Total Price with SST 8%]]*Table1[[#This Row],[Discount %]]/100)</f>
        <v>47316.635999999999</v>
      </c>
      <c r="V189" s="5" t="s">
        <v>33</v>
      </c>
      <c r="W189" s="5"/>
      <c r="X189" s="5"/>
      <c r="Y189" s="1" t="s">
        <v>194</v>
      </c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ht="15" customHeight="1">
      <c r="A190" s="1">
        <v>189</v>
      </c>
      <c r="B190" s="31">
        <v>46190</v>
      </c>
      <c r="C190" s="1" t="s">
        <v>25</v>
      </c>
      <c r="E190" s="77" t="s">
        <v>565</v>
      </c>
      <c r="F190" s="1" t="s">
        <v>36</v>
      </c>
      <c r="G190" s="1" t="s">
        <v>561</v>
      </c>
      <c r="H190" s="1" t="s">
        <v>194</v>
      </c>
      <c r="I190" s="1" t="s">
        <v>562</v>
      </c>
      <c r="J190" s="1" t="s">
        <v>563</v>
      </c>
      <c r="M190" s="1">
        <v>10</v>
      </c>
      <c r="N190" s="1">
        <v>3</v>
      </c>
      <c r="O190" s="4">
        <f>Table1[[#This Row],[Unit Price with SST 8%]]/1.08</f>
        <v>17813.678</v>
      </c>
      <c r="P190" s="2">
        <f>17813.678*1.08</f>
        <v>19238.772240000002</v>
      </c>
      <c r="Q190" s="4">
        <f>Table1[[#This Row],[Unit Price without SST]]*Table1[[#This Row],[No of Unit]]</f>
        <v>53441.034</v>
      </c>
      <c r="R190" s="5">
        <f>Table1[[#This Row],[Unit Price with SST 8%]]*Table1[[#This Row],[No of Unit]]</f>
        <v>57716.316720000003</v>
      </c>
      <c r="S190" s="3">
        <f>Table1[[#This Row],[Total Price with SST 8%]]-Table1[[#This Row],[Total Price without SST]]</f>
        <v>4275.2827200000029</v>
      </c>
      <c r="U190" s="5">
        <f>Table1[[#This Row],[Total Price with SST 8%]]-(Table1[[#This Row],[Total Price with SST 8%]]*Table1[[#This Row],[Discount %]]/100)</f>
        <v>57716.316720000003</v>
      </c>
      <c r="V190" s="5" t="s">
        <v>33</v>
      </c>
      <c r="W190" s="5"/>
      <c r="X190" s="5"/>
      <c r="Y190" s="1" t="s">
        <v>194</v>
      </c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ht="15" customHeight="1">
      <c r="A191" s="1">
        <v>190</v>
      </c>
      <c r="B191" s="31">
        <v>46190</v>
      </c>
      <c r="C191" s="1" t="s">
        <v>25</v>
      </c>
      <c r="E191" s="77" t="s">
        <v>566</v>
      </c>
      <c r="F191" s="1" t="s">
        <v>36</v>
      </c>
      <c r="G191" s="1" t="s">
        <v>567</v>
      </c>
      <c r="H191" s="1" t="s">
        <v>194</v>
      </c>
      <c r="I191" s="1" t="s">
        <v>562</v>
      </c>
      <c r="J191" s="1" t="s">
        <v>563</v>
      </c>
      <c r="M191" s="1">
        <v>10</v>
      </c>
      <c r="N191" s="1">
        <v>2</v>
      </c>
      <c r="O191" s="4">
        <f>Table1[[#This Row],[Unit Price with SST 8%]]/1.08</f>
        <v>28877.8</v>
      </c>
      <c r="P191" s="2">
        <f>28877.8*1.08</f>
        <v>31188.024000000001</v>
      </c>
      <c r="Q191" s="4">
        <f>Table1[[#This Row],[Unit Price without SST]]*Table1[[#This Row],[No of Unit]]</f>
        <v>57755.6</v>
      </c>
      <c r="R191" s="5">
        <f>Table1[[#This Row],[Unit Price with SST 8%]]*Table1[[#This Row],[No of Unit]]</f>
        <v>62376.048000000003</v>
      </c>
      <c r="S191" s="3">
        <f>Table1[[#This Row],[Total Price with SST 8%]]-Table1[[#This Row],[Total Price without SST]]</f>
        <v>4620.448000000004</v>
      </c>
      <c r="U191" s="5">
        <f>Table1[[#This Row],[Total Price with SST 8%]]-(Table1[[#This Row],[Total Price with SST 8%]]*Table1[[#This Row],[Discount %]]/100)</f>
        <v>62376.048000000003</v>
      </c>
      <c r="V191" s="5" t="s">
        <v>33</v>
      </c>
      <c r="W191" s="5"/>
      <c r="X191" s="5"/>
      <c r="Y191" s="1" t="s">
        <v>194</v>
      </c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ht="15" customHeight="1">
      <c r="A192" s="1">
        <v>191</v>
      </c>
      <c r="B192" s="31">
        <v>46190</v>
      </c>
      <c r="C192" s="1" t="s">
        <v>25</v>
      </c>
      <c r="E192" s="77" t="s">
        <v>568</v>
      </c>
      <c r="F192" s="1" t="s">
        <v>36</v>
      </c>
      <c r="G192" s="1" t="s">
        <v>567</v>
      </c>
      <c r="H192" s="1" t="s">
        <v>194</v>
      </c>
      <c r="I192" s="1" t="s">
        <v>562</v>
      </c>
      <c r="J192" s="1" t="s">
        <v>563</v>
      </c>
      <c r="M192" s="1">
        <v>10</v>
      </c>
      <c r="N192" s="1">
        <v>2</v>
      </c>
      <c r="O192" s="4">
        <f>Table1[[#This Row],[Unit Price with SST 8%]]/1.08</f>
        <v>21905.85</v>
      </c>
      <c r="P192" s="4">
        <f>21905.85*1.08</f>
        <v>23658.317999999999</v>
      </c>
      <c r="Q192" s="4">
        <f>Table1[[#This Row],[Unit Price without SST]]*Table1[[#This Row],[No of Unit]]</f>
        <v>43811.7</v>
      </c>
      <c r="R192" s="67">
        <f>Table1[[#This Row],[Unit Price with SST 8%]]*Table1[[#This Row],[No of Unit]]</f>
        <v>47316.635999999999</v>
      </c>
      <c r="S192" s="68">
        <f>Table1[[#This Row],[Total Price with SST 8%]]-Table1[[#This Row],[Total Price without SST]]</f>
        <v>3504.9360000000015</v>
      </c>
      <c r="T192" s="4"/>
      <c r="U192" s="67">
        <f>Table1[[#This Row],[Total Price with SST 8%]]-(Table1[[#This Row],[Total Price with SST 8%]]*Table1[[#This Row],[Discount %]]/100)</f>
        <v>47316.635999999999</v>
      </c>
      <c r="V192" s="5" t="s">
        <v>33</v>
      </c>
      <c r="W192" s="5"/>
      <c r="X192" s="5"/>
      <c r="Y192" s="1" t="s">
        <v>194</v>
      </c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ht="11.25" customHeight="1">
      <c r="A193" s="1">
        <v>192</v>
      </c>
      <c r="B193" s="31">
        <v>46190</v>
      </c>
      <c r="C193" s="1" t="s">
        <v>25</v>
      </c>
      <c r="E193" s="77" t="s">
        <v>569</v>
      </c>
      <c r="F193" s="1" t="s">
        <v>36</v>
      </c>
      <c r="G193" s="1" t="s">
        <v>567</v>
      </c>
      <c r="H193" s="1" t="s">
        <v>194</v>
      </c>
      <c r="I193" s="1" t="s">
        <v>562</v>
      </c>
      <c r="J193" s="1" t="s">
        <v>563</v>
      </c>
      <c r="M193" s="1">
        <v>10</v>
      </c>
      <c r="N193" s="1">
        <v>2</v>
      </c>
      <c r="O193" s="4">
        <f>Table1[[#This Row],[Unit Price with SST 8%]]/1.08</f>
        <v>17813.678</v>
      </c>
      <c r="P193" s="4">
        <f>17813.678*1.08</f>
        <v>19238.772240000002</v>
      </c>
      <c r="Q193" s="4">
        <f>Table1[[#This Row],[Unit Price without SST]]*Table1[[#This Row],[No of Unit]]</f>
        <v>35627.356</v>
      </c>
      <c r="R193" s="67">
        <f>Table1[[#This Row],[Unit Price with SST 8%]]*Table1[[#This Row],[No of Unit]]</f>
        <v>38477.544480000004</v>
      </c>
      <c r="S193" s="68">
        <f>Table1[[#This Row],[Total Price with SST 8%]]-Table1[[#This Row],[Total Price without SST]]</f>
        <v>2850.1884800000043</v>
      </c>
      <c r="T193" s="4"/>
      <c r="U193" s="67">
        <f>Table1[[#This Row],[Total Price with SST 8%]]-(Table1[[#This Row],[Total Price with SST 8%]]*Table1[[#This Row],[Discount %]]/100)</f>
        <v>38477.544480000004</v>
      </c>
      <c r="V193" s="5" t="s">
        <v>33</v>
      </c>
      <c r="W193" s="5"/>
      <c r="X193" s="5"/>
      <c r="Y193" s="1" t="s">
        <v>194</v>
      </c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ht="15" customHeight="1">
      <c r="A194" s="1">
        <v>193</v>
      </c>
      <c r="B194" s="31">
        <v>46191</v>
      </c>
      <c r="C194" s="1" t="s">
        <v>25</v>
      </c>
      <c r="E194" s="77" t="s">
        <v>570</v>
      </c>
      <c r="F194" s="1" t="s">
        <v>36</v>
      </c>
      <c r="G194" s="1" t="s">
        <v>181</v>
      </c>
      <c r="H194" s="1" t="s">
        <v>194</v>
      </c>
      <c r="I194" s="1" t="s">
        <v>571</v>
      </c>
      <c r="J194" s="1" t="s">
        <v>182</v>
      </c>
      <c r="M194" s="1">
        <v>2</v>
      </c>
      <c r="N194" s="1">
        <v>30</v>
      </c>
      <c r="O194" s="4">
        <f>Table1[[#This Row],[Unit Price with SST 8%]]/1.08</f>
        <v>925</v>
      </c>
      <c r="P194" s="4">
        <f>925*1.08</f>
        <v>999.00000000000011</v>
      </c>
      <c r="Q194" s="4">
        <f>Table1[[#This Row],[Unit Price without SST]]*Table1[[#This Row],[No of Unit]]</f>
        <v>27750</v>
      </c>
      <c r="R194" s="67">
        <f>Table1[[#This Row],[Unit Price with SST 8%]]*Table1[[#This Row],[No of Unit]]</f>
        <v>29970.000000000004</v>
      </c>
      <c r="S194" s="68">
        <f>Table1[[#This Row],[Total Price with SST 8%]]-Table1[[#This Row],[Total Price without SST]]</f>
        <v>2220.0000000000036</v>
      </c>
      <c r="T194" s="4"/>
      <c r="U194" s="67">
        <f>Table1[[#This Row],[Total Price with SST 8%]]-(Table1[[#This Row],[Total Price with SST 8%]]*Table1[[#This Row],[Discount %]]/100)</f>
        <v>29970.000000000004</v>
      </c>
      <c r="V194" s="5" t="s">
        <v>33</v>
      </c>
      <c r="W194" s="5"/>
      <c r="X194" s="5"/>
      <c r="Y194" s="1" t="s">
        <v>194</v>
      </c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ht="15" customHeight="1">
      <c r="A195" s="1">
        <v>194</v>
      </c>
      <c r="B195" s="31">
        <v>46191</v>
      </c>
      <c r="C195" s="1" t="s">
        <v>200</v>
      </c>
      <c r="E195" s="77" t="s">
        <v>572</v>
      </c>
      <c r="F195" s="1" t="s">
        <v>292</v>
      </c>
      <c r="G195" s="1" t="s">
        <v>573</v>
      </c>
      <c r="H195" s="1" t="s">
        <v>194</v>
      </c>
      <c r="I195" s="1" t="s">
        <v>574</v>
      </c>
      <c r="J195" s="1" t="s">
        <v>575</v>
      </c>
      <c r="N195" s="1">
        <v>50</v>
      </c>
      <c r="O195" s="4">
        <f>Table1[[#This Row],[Unit Price with SST 8%]]/1.08</f>
        <v>100</v>
      </c>
      <c r="P195" s="4">
        <f>100*1.08</f>
        <v>108</v>
      </c>
      <c r="Q195" s="4">
        <f>Table1[[#This Row],[Unit Price without SST]]*Table1[[#This Row],[No of Unit]]</f>
        <v>5000</v>
      </c>
      <c r="R195" s="67">
        <f>Table1[[#This Row],[Unit Price with SST 8%]]*Table1[[#This Row],[No of Unit]]</f>
        <v>5400</v>
      </c>
      <c r="S195" s="68">
        <f>Table1[[#This Row],[Total Price with SST 8%]]-Table1[[#This Row],[Total Price without SST]]</f>
        <v>400</v>
      </c>
      <c r="T195" s="4"/>
      <c r="U195" s="67">
        <f>Table1[[#This Row],[Total Price with SST 8%]]-(Table1[[#This Row],[Total Price with SST 8%]]*Table1[[#This Row],[Discount %]]/100)</f>
        <v>5400</v>
      </c>
      <c r="V195" s="5"/>
      <c r="W195" s="5"/>
      <c r="X195" s="5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ht="15" customHeight="1">
      <c r="A196" s="1">
        <v>195</v>
      </c>
      <c r="B196" s="31">
        <v>46192</v>
      </c>
      <c r="C196" s="1" t="s">
        <v>25</v>
      </c>
      <c r="E196" s="77" t="s">
        <v>576</v>
      </c>
      <c r="F196" s="1" t="s">
        <v>36</v>
      </c>
      <c r="G196" s="1" t="s">
        <v>577</v>
      </c>
      <c r="H196" s="1" t="s">
        <v>128</v>
      </c>
      <c r="I196" s="1" t="s">
        <v>226</v>
      </c>
      <c r="M196" s="1">
        <v>2</v>
      </c>
      <c r="O196" s="4">
        <f>Table1[[#This Row],[Unit Price with SST 8%]]/1.08</f>
        <v>0</v>
      </c>
      <c r="P196" s="4"/>
      <c r="Q196" s="4">
        <v>21000</v>
      </c>
      <c r="R196" s="67">
        <f>Table1[[#This Row],[Unit Price with SST 8%]]*Table1[[#This Row],[No of Unit]]</f>
        <v>0</v>
      </c>
      <c r="S196" s="68">
        <f>Table1[[#This Row],[Total Price with SST 8%]]-Table1[[#This Row],[Total Price without SST]]</f>
        <v>-21000</v>
      </c>
      <c r="T196" s="4"/>
      <c r="U196" s="67">
        <f>Table1[[#This Row],[Total Price with SST 8%]]-(Table1[[#This Row],[Total Price with SST 8%]]*Table1[[#This Row],[Discount %]]/100)</f>
        <v>0</v>
      </c>
      <c r="V196" s="5" t="s">
        <v>33</v>
      </c>
      <c r="W196" s="5"/>
      <c r="X196" s="5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ht="15" customHeight="1">
      <c r="A197" s="1">
        <v>196</v>
      </c>
      <c r="B197" s="31">
        <v>46192</v>
      </c>
      <c r="C197" s="1" t="s">
        <v>25</v>
      </c>
      <c r="E197" s="77" t="s">
        <v>578</v>
      </c>
      <c r="F197" s="1" t="s">
        <v>36</v>
      </c>
      <c r="G197" s="1" t="s">
        <v>229</v>
      </c>
      <c r="H197" s="1" t="s">
        <v>128</v>
      </c>
      <c r="I197" s="1" t="s">
        <v>579</v>
      </c>
      <c r="M197" s="1">
        <v>2</v>
      </c>
      <c r="O197" s="21">
        <f>Table1[[#This Row],[Unit Price with SST 8%]]/1.08</f>
        <v>0</v>
      </c>
      <c r="P197" s="4"/>
      <c r="Q197" s="4">
        <v>21000</v>
      </c>
      <c r="R197" s="67">
        <f>Table1[[#This Row],[Unit Price with SST 8%]]*Table1[[#This Row],[No of Unit]]</f>
        <v>0</v>
      </c>
      <c r="S197" s="68">
        <f>Table1[[#This Row],[Total Price with SST 8%]]-Table1[[#This Row],[Total Price without SST]]</f>
        <v>-21000</v>
      </c>
      <c r="T197" s="4"/>
      <c r="U197" s="88">
        <f>Table1[[#This Row],[Total Price with SST 8%]]-(Table1[[#This Row],[Total Price with SST 8%]]*Table1[[#This Row],[Discount %]]/100)</f>
        <v>0</v>
      </c>
      <c r="V197" s="5" t="s">
        <v>33</v>
      </c>
      <c r="W197" s="5"/>
      <c r="X197" s="5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ht="15" customHeight="1">
      <c r="A198" s="1">
        <v>197</v>
      </c>
      <c r="B198" s="31">
        <v>46195</v>
      </c>
      <c r="C198" s="1" t="s">
        <v>25</v>
      </c>
      <c r="E198" s="77" t="s">
        <v>580</v>
      </c>
      <c r="F198" s="1" t="s">
        <v>36</v>
      </c>
      <c r="G198" s="1" t="s">
        <v>581</v>
      </c>
      <c r="H198" s="1" t="s">
        <v>79</v>
      </c>
      <c r="I198" s="1" t="s">
        <v>230</v>
      </c>
      <c r="J198" s="1" t="s">
        <v>582</v>
      </c>
      <c r="M198" s="1">
        <v>5</v>
      </c>
      <c r="N198" s="1">
        <v>10</v>
      </c>
      <c r="O198" s="21">
        <v>10500</v>
      </c>
      <c r="P198" s="4">
        <f>Table1[[#This Row],[Unit Price without SST]]*1.08</f>
        <v>11340</v>
      </c>
      <c r="Q198" s="4">
        <f>Table1[[#This Row],[Unit Price without SST]]*Table1[[#This Row],[Duration - Days]]</f>
        <v>52500</v>
      </c>
      <c r="R198" s="67">
        <f>Table1[[#This Row],[Unit Price with SST 8%]]*Table1[[#This Row],[Duration - Days]]</f>
        <v>56700</v>
      </c>
      <c r="S198" s="68">
        <f>Table1[[#This Row],[Total Price with SST 8%]]-Table1[[#This Row],[Total Price without SST]]</f>
        <v>4200</v>
      </c>
      <c r="T198" s="4"/>
      <c r="U198" s="88">
        <f>Table1[[#This Row],[Total Price with SST 8%]]-(Table1[[#This Row],[Total Price with SST 8%]]*Table1[[#This Row],[Discount %]]/100)</f>
        <v>56700</v>
      </c>
      <c r="V198" s="5"/>
      <c r="W198" s="5"/>
      <c r="X198" s="5"/>
      <c r="Y198" s="1" t="s">
        <v>405</v>
      </c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ht="15" customHeight="1">
      <c r="A199" s="1">
        <v>198</v>
      </c>
      <c r="B199" s="31">
        <v>46195</v>
      </c>
      <c r="C199" s="1" t="s">
        <v>25</v>
      </c>
      <c r="E199" s="1" t="s">
        <v>583</v>
      </c>
      <c r="F199" s="1" t="s">
        <v>36</v>
      </c>
      <c r="G199" s="1" t="s">
        <v>470</v>
      </c>
      <c r="H199" s="1" t="s">
        <v>79</v>
      </c>
      <c r="I199" s="86" t="s">
        <v>471</v>
      </c>
      <c r="J199" s="1" t="s">
        <v>472</v>
      </c>
      <c r="M199" s="1">
        <v>4</v>
      </c>
      <c r="N199" s="1">
        <v>20</v>
      </c>
      <c r="O199" s="4">
        <f>Table1[[#This Row],[Unit Price with SST 8%]]/1.08</f>
        <v>572.91666666666663</v>
      </c>
      <c r="P199" s="4">
        <v>618.75</v>
      </c>
      <c r="Q199" s="4">
        <f>Table1[[#This Row],[Unit Price without SST]]*Table1[[#This Row],[No of Unit]]*Table1[[#This Row],[Duration - Days]]</f>
        <v>45833.333333333328</v>
      </c>
      <c r="R199" s="67">
        <f>Table1[[#This Row],[Unit Price with SST 8%]]*Table1[[#This Row],[No of Unit]]*Table1[[#This Row],[Duration - Days]]</f>
        <v>49500</v>
      </c>
      <c r="S199" s="68">
        <f>Table1[[#This Row],[Total Price with SST 8%]]-Table1[[#This Row],[Total Price without SST]]</f>
        <v>3666.6666666666715</v>
      </c>
      <c r="T199" s="4"/>
      <c r="U199" s="88">
        <f>Table1[[#This Row],[Total Price with SST 8%]]-(Table1[[#This Row],[Total Price with SST 8%]]*Table1[[#This Row],[Discount %]]/100)</f>
        <v>49500</v>
      </c>
      <c r="V199" s="5"/>
      <c r="W199" s="5"/>
      <c r="X199" s="5"/>
      <c r="Y199" s="1" t="s">
        <v>405</v>
      </c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ht="15" customHeight="1">
      <c r="A200" s="1">
        <v>199</v>
      </c>
      <c r="B200" s="31">
        <v>46195</v>
      </c>
      <c r="C200" s="1" t="s">
        <v>25</v>
      </c>
      <c r="E200" s="77" t="s">
        <v>584</v>
      </c>
      <c r="F200" s="1" t="s">
        <v>36</v>
      </c>
      <c r="G200" s="1" t="s">
        <v>585</v>
      </c>
      <c r="H200" s="1" t="s">
        <v>128</v>
      </c>
      <c r="I200" s="1" t="s">
        <v>226</v>
      </c>
      <c r="J200" s="1" t="s">
        <v>586</v>
      </c>
      <c r="M200" s="1">
        <v>2</v>
      </c>
      <c r="N200" s="1">
        <v>40</v>
      </c>
      <c r="O200" s="21">
        <f>Table1[[#This Row],[Unit Price with SST 8%]]/1.08</f>
        <v>0</v>
      </c>
      <c r="P200" s="4"/>
      <c r="Q200" s="4">
        <v>21000</v>
      </c>
      <c r="R200" s="67">
        <f>Table1[[#This Row],[Unit Price with SST 8%]]*Table1[[#This Row],[No of Unit]]</f>
        <v>0</v>
      </c>
      <c r="S200" s="68">
        <f>Table1[[#This Row],[Total Price without SST]]*8%</f>
        <v>1680</v>
      </c>
      <c r="T200" s="4"/>
      <c r="U200" s="88">
        <f>Table1[[#This Row],[SST 8% Amount]]+Table1[[#This Row],[Total Price without SST]]</f>
        <v>22680</v>
      </c>
      <c r="V200" s="5" t="s">
        <v>33</v>
      </c>
      <c r="W200" s="5"/>
      <c r="X200" s="5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ht="15" customHeight="1">
      <c r="A201" s="1">
        <v>200</v>
      </c>
      <c r="B201" s="31">
        <v>46195</v>
      </c>
      <c r="C201" s="1" t="s">
        <v>25</v>
      </c>
      <c r="E201" s="77" t="s">
        <v>587</v>
      </c>
      <c r="F201" s="1" t="s">
        <v>36</v>
      </c>
      <c r="G201" s="1" t="s">
        <v>585</v>
      </c>
      <c r="H201" s="1" t="s">
        <v>128</v>
      </c>
      <c r="I201" s="1" t="s">
        <v>588</v>
      </c>
      <c r="J201" s="1" t="s">
        <v>589</v>
      </c>
      <c r="M201" s="1">
        <v>5</v>
      </c>
      <c r="N201" s="1">
        <v>40</v>
      </c>
      <c r="O201" s="21">
        <f>Table1[[#This Row],[Unit Price with SST 8%]]/1.08</f>
        <v>0</v>
      </c>
      <c r="P201" s="4"/>
      <c r="Q201" s="4">
        <v>48800</v>
      </c>
      <c r="R201" s="67">
        <f>Table1[[#This Row],[Unit Price with SST 8%]]*Table1[[#This Row],[No of Unit]]</f>
        <v>0</v>
      </c>
      <c r="S201" s="68">
        <f>Table1[[#This Row],[Total Price without SST]]*8%</f>
        <v>3904</v>
      </c>
      <c r="T201" s="4"/>
      <c r="U201" s="88">
        <f>Table1[[#This Row],[SST 8% Amount]]+Table1[[#This Row],[Total Price without SST]]</f>
        <v>52704</v>
      </c>
      <c r="V201" s="5" t="s">
        <v>33</v>
      </c>
      <c r="W201" s="5"/>
      <c r="X201" s="5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ht="15" customHeight="1">
      <c r="A202" s="1">
        <v>201</v>
      </c>
      <c r="B202" s="31">
        <v>46196</v>
      </c>
      <c r="C202" s="1" t="s">
        <v>25</v>
      </c>
      <c r="E202" s="1" t="s">
        <v>590</v>
      </c>
      <c r="F202" s="1" t="s">
        <v>36</v>
      </c>
      <c r="G202" s="1" t="s">
        <v>591</v>
      </c>
      <c r="H202" s="1" t="s">
        <v>466</v>
      </c>
      <c r="I202" s="1" t="s">
        <v>588</v>
      </c>
      <c r="J202" s="1" t="s">
        <v>592</v>
      </c>
      <c r="M202" s="1">
        <v>5</v>
      </c>
      <c r="N202" s="1">
        <v>25</v>
      </c>
      <c r="O202" s="4">
        <v>10500</v>
      </c>
      <c r="P202" s="4">
        <v>11340</v>
      </c>
      <c r="Q202" s="4">
        <f>Table1[[#This Row],[Duration - Days]]*Table1[[#This Row],[Unit Price without SST]]</f>
        <v>52500</v>
      </c>
      <c r="R202" s="67">
        <f>Table1[[#This Row],[Duration - Days]]*Table1[[#This Row],[Unit Price with SST 8%]]</f>
        <v>56700</v>
      </c>
      <c r="S202" s="68">
        <f>Table1[[#This Row],[Total Price with SST 8%]]-Table1[[#This Row],[Total Price without SST]]</f>
        <v>4200</v>
      </c>
      <c r="T202" s="4"/>
      <c r="U202" s="88">
        <f>Table1[[#This Row],[SST 8% Amount]]+Table1[[#This Row],[Total Price without SST]]</f>
        <v>56700</v>
      </c>
      <c r="V202" s="5" t="s">
        <v>33</v>
      </c>
      <c r="W202" s="5"/>
      <c r="X202" s="5"/>
      <c r="Y202" s="1" t="s">
        <v>466</v>
      </c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ht="15" customHeight="1">
      <c r="A203" s="1">
        <v>202</v>
      </c>
      <c r="B203" s="31">
        <v>46196</v>
      </c>
      <c r="C203" s="1" t="s">
        <v>25</v>
      </c>
      <c r="E203" s="1" t="s">
        <v>593</v>
      </c>
      <c r="F203" s="1" t="s">
        <v>36</v>
      </c>
      <c r="G203" s="1" t="s">
        <v>594</v>
      </c>
      <c r="H203" s="1" t="s">
        <v>79</v>
      </c>
      <c r="I203" s="1" t="s">
        <v>226</v>
      </c>
      <c r="J203" s="1" t="s">
        <v>595</v>
      </c>
      <c r="M203" s="1">
        <v>8</v>
      </c>
      <c r="N203" s="1">
        <v>25</v>
      </c>
      <c r="O203" s="21">
        <v>37500</v>
      </c>
      <c r="P203" s="4">
        <f>Table1[[#This Row],[Unit Price without SST]]*1.08</f>
        <v>40500</v>
      </c>
      <c r="Q203" s="4">
        <f>Table1[[#This Row],[Unit Price without SST]]*Table1[[#This Row],[Duration - Days]]</f>
        <v>300000</v>
      </c>
      <c r="R203" s="67">
        <f>Table1[[#This Row],[Unit Price with SST 8%]]*Table1[[#This Row],[Duration - Days]]</f>
        <v>324000</v>
      </c>
      <c r="S203" s="68">
        <f>Table1[[#This Row],[Total Price with SST 8%]]-Table1[[#This Row],[Total Price without SST]]</f>
        <v>24000</v>
      </c>
      <c r="T203" s="4"/>
      <c r="U203" s="88">
        <f>Table1[[#This Row],[Total Price with SST 8%]]-(Table1[[#This Row],[Total Price with SST 8%]]*Table1[[#This Row],[Discount %]]/100)</f>
        <v>324000</v>
      </c>
      <c r="V203" s="5"/>
      <c r="W203" s="5"/>
      <c r="X203" s="5"/>
      <c r="Y203" s="1" t="s">
        <v>405</v>
      </c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ht="15" customHeight="1">
      <c r="A204" s="1">
        <v>203</v>
      </c>
      <c r="B204" s="31">
        <v>46198</v>
      </c>
      <c r="C204" s="1" t="s">
        <v>25</v>
      </c>
      <c r="E204" s="1" t="s">
        <v>596</v>
      </c>
      <c r="F204" s="1" t="s">
        <v>36</v>
      </c>
      <c r="G204" s="1" t="s">
        <v>540</v>
      </c>
      <c r="H204" s="1" t="s">
        <v>79</v>
      </c>
      <c r="I204" s="1" t="s">
        <v>230</v>
      </c>
      <c r="J204" s="1" t="s">
        <v>597</v>
      </c>
      <c r="M204" s="1">
        <v>5</v>
      </c>
      <c r="N204" s="1">
        <v>15</v>
      </c>
      <c r="O204" s="4">
        <v>640</v>
      </c>
      <c r="P204" s="4">
        <f>Table1[[#This Row],[Unit Price without SST]]*1.08</f>
        <v>691.2</v>
      </c>
      <c r="Q204" s="4">
        <f>Table1[[#This Row],[Unit Price without SST]]*Table1[[#This Row],[No of Unit]]*Table1[[#This Row],[Duration - Days]]</f>
        <v>48000</v>
      </c>
      <c r="R204" s="67">
        <f>Table1[[#This Row],[Unit Price with SST 8%]]*Table1[[#This Row],[No of Unit]]*Table1[[#This Row],[Duration - Days]]</f>
        <v>51840</v>
      </c>
      <c r="S204" s="68">
        <f>Table1[[#This Row],[Total Price with SST 8%]]-Table1[[#This Row],[Total Price without SST]]</f>
        <v>3840</v>
      </c>
      <c r="T204" s="4"/>
      <c r="U204" s="88">
        <v>48000</v>
      </c>
      <c r="V204" s="5"/>
      <c r="W204" s="5"/>
      <c r="X204" s="5"/>
      <c r="Y204" s="1" t="s">
        <v>405</v>
      </c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ht="15" customHeight="1">
      <c r="A205" s="1">
        <v>204</v>
      </c>
      <c r="B205" s="31">
        <v>46202</v>
      </c>
      <c r="C205" s="1" t="s">
        <v>25</v>
      </c>
      <c r="E205" s="77" t="s">
        <v>598</v>
      </c>
      <c r="F205" s="1" t="s">
        <v>36</v>
      </c>
      <c r="G205" s="1" t="s">
        <v>599</v>
      </c>
      <c r="H205" s="1" t="s">
        <v>215</v>
      </c>
      <c r="I205" s="1" t="s">
        <v>351</v>
      </c>
      <c r="J205" s="1" t="s">
        <v>600</v>
      </c>
      <c r="M205" s="1">
        <v>1</v>
      </c>
      <c r="N205" s="1">
        <v>76</v>
      </c>
      <c r="O205" s="4">
        <v>40</v>
      </c>
      <c r="P205" s="4">
        <v>40</v>
      </c>
      <c r="Q205" s="4">
        <f>Table1[[#This Row],[Unit Price without SST]]*Table1[[#This Row],[No of Unit]]</f>
        <v>3040</v>
      </c>
      <c r="R205" s="67">
        <f>Table1[[#This Row],[Unit Price with SST 8%]]*Table1[[#This Row],[No of Unit]]</f>
        <v>3040</v>
      </c>
      <c r="S205" s="68">
        <f>Table1[[#This Row],[Total Price with SST 8%]]-Table1[[#This Row],[Total Price without SST]]</f>
        <v>0</v>
      </c>
      <c r="T205" s="4"/>
      <c r="U205" s="67">
        <f>Table1[[#This Row],[Total Price with SST 8%]]-(Table1[[#This Row],[Total Price with SST 8%]]*Table1[[#This Row],[Discount %]]/100)</f>
        <v>3040</v>
      </c>
      <c r="V205" s="5" t="s">
        <v>33</v>
      </c>
      <c r="W205" s="5"/>
      <c r="X205" s="5"/>
      <c r="Y205" s="1" t="s">
        <v>194</v>
      </c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ht="15" customHeight="1">
      <c r="A206" s="1">
        <v>205</v>
      </c>
      <c r="B206" s="31">
        <v>46203</v>
      </c>
      <c r="C206" s="1" t="s">
        <v>25</v>
      </c>
      <c r="E206" s="1" t="s">
        <v>601</v>
      </c>
      <c r="F206" s="1" t="s">
        <v>36</v>
      </c>
      <c r="G206" s="1" t="s">
        <v>602</v>
      </c>
      <c r="H206" s="1" t="s">
        <v>79</v>
      </c>
      <c r="I206" s="1" t="s">
        <v>603</v>
      </c>
      <c r="J206" s="1" t="s">
        <v>604</v>
      </c>
      <c r="M206" s="1">
        <v>6</v>
      </c>
      <c r="N206" s="1">
        <v>2000</v>
      </c>
      <c r="O206" s="4">
        <v>170</v>
      </c>
      <c r="P206" s="4">
        <f>Table1[[#This Row],[Unit Price without SST]]*1.08</f>
        <v>183.60000000000002</v>
      </c>
      <c r="Q206" s="4">
        <f>Table1[[#This Row],[Unit Price without SST]]*Table1[[#This Row],[No of Unit]]</f>
        <v>340000</v>
      </c>
      <c r="R206" s="67">
        <f>Table1[[#This Row],[Unit Price with SST 8%]]*Table1[[#This Row],[No of Unit]]</f>
        <v>367200.00000000006</v>
      </c>
      <c r="S206" s="68">
        <f>Table1[[#This Row],[Total Price with SST 8%]]-Table1[[#This Row],[Total Price without SST]]</f>
        <v>27200.000000000058</v>
      </c>
      <c r="T206" s="4"/>
      <c r="U206" s="88">
        <f>Table1[[#This Row],[Total Price with SST 8%]]-(Table1[[#This Row],[Total Price with SST 8%]]*Table1[[#This Row],[Discount %]]/100)</f>
        <v>367200.00000000006</v>
      </c>
      <c r="V206" s="5"/>
      <c r="W206" s="5"/>
      <c r="X206" s="5"/>
      <c r="Y206" s="1" t="s">
        <v>405</v>
      </c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ht="15" customHeight="1">
      <c r="A207" s="1">
        <v>206</v>
      </c>
      <c r="B207" s="31">
        <v>46203</v>
      </c>
      <c r="C207" s="1" t="s">
        <v>25</v>
      </c>
      <c r="E207" s="1" t="s">
        <v>605</v>
      </c>
      <c r="F207" s="1" t="s">
        <v>36</v>
      </c>
      <c r="G207" s="1" t="s">
        <v>540</v>
      </c>
      <c r="H207" s="1" t="s">
        <v>79</v>
      </c>
      <c r="I207" s="1" t="s">
        <v>230</v>
      </c>
      <c r="J207" s="1" t="s">
        <v>597</v>
      </c>
      <c r="M207" s="1">
        <v>5</v>
      </c>
      <c r="N207" s="1">
        <v>15</v>
      </c>
      <c r="O207" s="4">
        <v>640</v>
      </c>
      <c r="P207" s="4">
        <f>Table1[[#This Row],[Unit Price without SST]]*1.08</f>
        <v>691.2</v>
      </c>
      <c r="Q207" s="4">
        <f>Table1[[#This Row],[Unit Price without SST]]*Table1[[#This Row],[No of Unit]]*Table1[[#This Row],[Duration - Days]]</f>
        <v>48000</v>
      </c>
      <c r="R207" s="67">
        <f>Table1[[#This Row],[Unit Price with SST 8%]]*Table1[[#This Row],[No of Unit]]*Table1[[#This Row],[Duration - Days]]</f>
        <v>51840</v>
      </c>
      <c r="S207" s="68">
        <f>Table1[[#This Row],[Total Price with SST 8%]]-Table1[[#This Row],[Total Price without SST]]</f>
        <v>3840</v>
      </c>
      <c r="T207" s="4"/>
      <c r="U207" s="88">
        <f>Table1[[#This Row],[Total Price with SST 8%]]-(Table1[[#This Row],[Total Price with SST 8%]]*Table1[[#This Row],[Discount %]]/100)</f>
        <v>51840</v>
      </c>
      <c r="V207" s="5"/>
      <c r="W207" s="5"/>
      <c r="X207" s="5"/>
      <c r="Y207" s="1" t="s">
        <v>405</v>
      </c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ht="15" customHeight="1">
      <c r="A208" s="1">
        <v>207</v>
      </c>
      <c r="B208" s="31">
        <v>46205</v>
      </c>
      <c r="C208" s="1" t="s">
        <v>25</v>
      </c>
      <c r="E208" s="1" t="s">
        <v>606</v>
      </c>
      <c r="F208" s="1" t="s">
        <v>36</v>
      </c>
      <c r="G208" s="1" t="s">
        <v>607</v>
      </c>
      <c r="H208" s="1" t="s">
        <v>79</v>
      </c>
      <c r="I208" s="1" t="s">
        <v>608</v>
      </c>
      <c r="J208" s="1" t="s">
        <v>609</v>
      </c>
      <c r="K208" s="1" t="s">
        <v>610</v>
      </c>
      <c r="L208" s="52">
        <v>48000</v>
      </c>
      <c r="M208" s="1">
        <v>5</v>
      </c>
      <c r="N208" s="1">
        <v>15</v>
      </c>
      <c r="O208" s="4">
        <v>640</v>
      </c>
      <c r="P208" s="4">
        <f>Table1[[#This Row],[Unit Price without SST]]*1.08</f>
        <v>691.2</v>
      </c>
      <c r="Q208" s="4">
        <f>Table1[[#This Row],[Unit Price without SST]]*Table1[[#This Row],[No of Unit]]*Table1[[#This Row],[Duration - Days]]</f>
        <v>48000</v>
      </c>
      <c r="R208" s="67">
        <f>Table1[[#This Row],[Unit Price with SST 8%]]*Table1[[#This Row],[No of Unit]]*Table1[[#This Row],[Duration - Days]]</f>
        <v>51840</v>
      </c>
      <c r="S208" s="68">
        <f>Table1[[#This Row],[Total Price with SST 8%]]-Table1[[#This Row],[Total Price without SST]]</f>
        <v>3840</v>
      </c>
      <c r="T208" s="4"/>
      <c r="U208" s="88">
        <f>Table1[[#This Row],[Total Price with SST 8%]]-(Table1[[#This Row],[Total Price with SST 8%]]*Table1[[#This Row],[Discount %]]/100)</f>
        <v>51840</v>
      </c>
      <c r="V208" s="5"/>
      <c r="W208" s="5"/>
      <c r="X208" s="5"/>
      <c r="Y208" s="1" t="s">
        <v>405</v>
      </c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ht="15" customHeight="1">
      <c r="A209" s="1">
        <v>208</v>
      </c>
      <c r="B209" s="31">
        <v>46205</v>
      </c>
      <c r="C209" s="1" t="s">
        <v>25</v>
      </c>
      <c r="E209" s="1" t="s">
        <v>611</v>
      </c>
      <c r="F209" s="1" t="s">
        <v>36</v>
      </c>
      <c r="G209" s="1" t="s">
        <v>607</v>
      </c>
      <c r="H209" s="1" t="s">
        <v>79</v>
      </c>
      <c r="I209" s="1" t="s">
        <v>612</v>
      </c>
      <c r="J209" s="1" t="s">
        <v>609</v>
      </c>
      <c r="K209" s="1" t="s">
        <v>613</v>
      </c>
      <c r="L209" s="52">
        <v>21000</v>
      </c>
      <c r="M209" s="1">
        <v>2</v>
      </c>
      <c r="N209" s="1">
        <v>15</v>
      </c>
      <c r="O209" s="4">
        <v>700</v>
      </c>
      <c r="P209" s="4">
        <f>Table1[[#This Row],[Unit Price without SST]]*1.08</f>
        <v>756</v>
      </c>
      <c r="Q209" s="4">
        <f>Table1[[#This Row],[Unit Price without SST]]*Table1[[#This Row],[No of Unit]]*Table1[[#This Row],[Duration - Days]]</f>
        <v>21000</v>
      </c>
      <c r="R209" s="67">
        <f>Table1[[#This Row],[Unit Price with SST 8%]]*Table1[[#This Row],[No of Unit]]*Table1[[#This Row],[Duration - Days]]</f>
        <v>22680</v>
      </c>
      <c r="S209" s="68">
        <f>Table1[[#This Row],[Total Price with SST 8%]]-Table1[[#This Row],[Total Price without SST]]</f>
        <v>1680</v>
      </c>
      <c r="T209" s="4"/>
      <c r="U209" s="88">
        <f>Table1[[#This Row],[Total Price with SST 8%]]-(Table1[[#This Row],[Total Price with SST 8%]]*Table1[[#This Row],[Discount %]]/100)</f>
        <v>22680</v>
      </c>
      <c r="V209" s="5"/>
      <c r="W209" s="5"/>
      <c r="X209" s="5"/>
      <c r="Y209" s="1" t="s">
        <v>614</v>
      </c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ht="15" customHeight="1">
      <c r="A210" s="1">
        <v>209</v>
      </c>
      <c r="B210" s="31">
        <v>46205</v>
      </c>
      <c r="C210" s="1" t="s">
        <v>200</v>
      </c>
      <c r="E210" s="1" t="s">
        <v>615</v>
      </c>
      <c r="F210" s="1" t="s">
        <v>202</v>
      </c>
      <c r="G210" s="1" t="s">
        <v>616</v>
      </c>
      <c r="H210" s="1" t="s">
        <v>415</v>
      </c>
      <c r="I210" s="1" t="s">
        <v>617</v>
      </c>
      <c r="J210" s="1" t="s">
        <v>618</v>
      </c>
      <c r="M210" s="1">
        <v>0.5</v>
      </c>
      <c r="N210" s="1">
        <v>1</v>
      </c>
      <c r="O210" s="4">
        <v>8500</v>
      </c>
      <c r="P210" s="4">
        <v>8500</v>
      </c>
      <c r="Q210" s="4">
        <f>Table1[[#This Row],[Unit Price without SST]]*Table1[[#This Row],[No of Unit]]</f>
        <v>8500</v>
      </c>
      <c r="R210" s="67">
        <f>Table1[[#This Row],[Unit Price with SST 8%]]*Table1[[#This Row],[No of Unit]]</f>
        <v>8500</v>
      </c>
      <c r="S210" s="68">
        <f>Table1[[#This Row],[Total Price with SST 8%]]-Table1[[#This Row],[Total Price without SST]]</f>
        <v>0</v>
      </c>
      <c r="T210" s="4"/>
      <c r="U210" s="88">
        <f>Table1[[#This Row],[Total Price with SST 8%]]-(Table1[[#This Row],[Total Price with SST 8%]]*Table1[[#This Row],[Discount %]]/100)</f>
        <v>8500</v>
      </c>
      <c r="V210" s="5"/>
      <c r="W210" s="5"/>
      <c r="X210" s="5"/>
      <c r="Y210" s="1" t="s">
        <v>405</v>
      </c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ht="15" customHeight="1">
      <c r="A211" s="1">
        <v>210</v>
      </c>
      <c r="B211" s="31">
        <v>46206</v>
      </c>
      <c r="C211" s="1" t="s">
        <v>25</v>
      </c>
      <c r="E211" s="1" t="s">
        <v>619</v>
      </c>
      <c r="F211" s="1" t="s">
        <v>36</v>
      </c>
      <c r="G211" s="1" t="s">
        <v>620</v>
      </c>
      <c r="H211" s="1" t="s">
        <v>79</v>
      </c>
      <c r="I211" s="1" t="s">
        <v>226</v>
      </c>
      <c r="J211" s="1" t="s">
        <v>621</v>
      </c>
      <c r="M211" s="1">
        <v>2</v>
      </c>
      <c r="N211" s="1">
        <v>5</v>
      </c>
      <c r="O211" s="4">
        <v>1990</v>
      </c>
      <c r="P211" s="4">
        <f>Table1[[#This Row],[Unit Price without SST]]*1.08</f>
        <v>2149.2000000000003</v>
      </c>
      <c r="Q211" s="4">
        <f>Table1[[#This Row],[Unit Price without SST]]*Table1[[#This Row],[No of Unit]]</f>
        <v>9950</v>
      </c>
      <c r="R211" s="67">
        <f>Table1[[#This Row],[Unit Price with SST 8%]]*Table1[[#This Row],[No of Unit]]</f>
        <v>10746.000000000002</v>
      </c>
      <c r="S211" s="68">
        <f>Table1[[#This Row],[Total Price with SST 8%]]-Table1[[#This Row],[Total Price without SST]]</f>
        <v>796.00000000000182</v>
      </c>
      <c r="T211" s="4"/>
      <c r="U211" s="88">
        <f>Table1[[#This Row],[Total Price with SST 8%]]-(Table1[[#This Row],[Total Price with SST 8%]]*Table1[[#This Row],[Discount %]]/100)</f>
        <v>10746.000000000002</v>
      </c>
      <c r="V211" s="5"/>
      <c r="W211" s="5"/>
      <c r="X211" s="5"/>
      <c r="Y211" s="1" t="s">
        <v>405</v>
      </c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ht="15" customHeight="1">
      <c r="A212" s="1">
        <v>211</v>
      </c>
      <c r="B212" s="31">
        <v>46206</v>
      </c>
      <c r="C212" s="1" t="s">
        <v>25</v>
      </c>
      <c r="E212" s="1" t="s">
        <v>622</v>
      </c>
      <c r="F212" s="1" t="s">
        <v>27</v>
      </c>
      <c r="G212" s="1" t="s">
        <v>623</v>
      </c>
      <c r="H212" s="1" t="s">
        <v>79</v>
      </c>
      <c r="I212" s="1" t="s">
        <v>624</v>
      </c>
      <c r="J212" s="1" t="s">
        <v>130</v>
      </c>
      <c r="M212" s="1">
        <v>2</v>
      </c>
      <c r="N212" s="1">
        <v>10</v>
      </c>
      <c r="O212" s="4">
        <f>Table1[[#This Row],[Unit Price with SST 8%]]/1.08</f>
        <v>972.22222222222217</v>
      </c>
      <c r="P212" s="4">
        <v>1050</v>
      </c>
      <c r="Q212" s="4">
        <f>Table1[[#This Row],[Unit Price without SST]]*Table1[[#This Row],[No of Unit]]*Table1[[#This Row],[Duration - Days]]</f>
        <v>19444.444444444445</v>
      </c>
      <c r="R212" s="67">
        <f>Table1[[#This Row],[Unit Price with SST 8%]]*Table1[[#This Row],[No of Unit]]*Table1[[#This Row],[Duration - Days]]</f>
        <v>21000</v>
      </c>
      <c r="S212" s="68">
        <f>Table1[[#This Row],[Total Price with SST 8%]]-Table1[[#This Row],[Total Price without SST]]</f>
        <v>1555.5555555555547</v>
      </c>
      <c r="T212" s="4"/>
      <c r="U212" s="88">
        <f>Table1[[#This Row],[Total Price with SST 8%]]-(Table1[[#This Row],[Total Price with SST 8%]]*Table1[[#This Row],[Discount %]]/100)</f>
        <v>21000</v>
      </c>
      <c r="V212" s="5"/>
      <c r="W212" s="5"/>
      <c r="X212" s="5"/>
      <c r="Y212" s="1" t="s">
        <v>405</v>
      </c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ht="15" customHeight="1">
      <c r="A213" s="1">
        <v>212</v>
      </c>
      <c r="B213" s="31">
        <v>46209</v>
      </c>
      <c r="C213" s="1" t="s">
        <v>25</v>
      </c>
      <c r="D213" s="1" t="s">
        <v>622</v>
      </c>
      <c r="E213" s="1" t="s">
        <v>625</v>
      </c>
      <c r="F213" s="1" t="s">
        <v>27</v>
      </c>
      <c r="G213" s="1" t="s">
        <v>623</v>
      </c>
      <c r="H213" s="1" t="s">
        <v>79</v>
      </c>
      <c r="I213" s="1" t="s">
        <v>624</v>
      </c>
      <c r="J213" s="1" t="s">
        <v>130</v>
      </c>
      <c r="K213" s="1">
        <v>2</v>
      </c>
      <c r="L213" s="1">
        <v>10</v>
      </c>
      <c r="M213" s="1">
        <v>2</v>
      </c>
      <c r="N213" s="1">
        <v>10</v>
      </c>
      <c r="O213" s="4">
        <f>Table1[[#This Row],[Unit Price with SST 8%]]/1.08</f>
        <v>925.92592592592587</v>
      </c>
      <c r="P213" s="4">
        <v>1000</v>
      </c>
      <c r="Q213" s="4">
        <f>Table1[[#This Row],[Unit Price without SST]]*Table1[[#This Row],[No of Unit]]*Table1[[#This Row],[Duration - Days]]</f>
        <v>18518.518518518518</v>
      </c>
      <c r="R213" s="67">
        <f>Table1[[#This Row],[Unit Price with SST 8%]]*Table1[[#This Row],[No of Unit]]*Table1[[#This Row],[Duration - Days]]</f>
        <v>20000</v>
      </c>
      <c r="S213" s="68">
        <f>Table1[[#This Row],[Total Price with SST 8%]]-Table1[[#This Row],[Total Price without SST]]</f>
        <v>1481.4814814814818</v>
      </c>
      <c r="T213" s="4"/>
      <c r="U213" s="88">
        <f>Table1[[#This Row],[Total Price with SST 8%]]-(Table1[[#This Row],[Total Price with SST 8%]]*Table1[[#This Row],[Discount %]]/100)</f>
        <v>20000</v>
      </c>
      <c r="V213" s="5"/>
      <c r="W213" s="5"/>
      <c r="X213" s="5"/>
      <c r="Y213" s="1" t="s">
        <v>405</v>
      </c>
    </row>
    <row r="214" spans="1:49" ht="15" customHeight="1">
      <c r="A214" s="1">
        <v>213</v>
      </c>
      <c r="B214" s="31">
        <v>46209</v>
      </c>
      <c r="C214" s="1" t="s">
        <v>25</v>
      </c>
      <c r="E214" s="1" t="s">
        <v>626</v>
      </c>
      <c r="F214" s="1" t="s">
        <v>36</v>
      </c>
      <c r="G214" s="1" t="s">
        <v>279</v>
      </c>
      <c r="H214" s="1" t="s">
        <v>79</v>
      </c>
      <c r="I214" s="1" t="s">
        <v>627</v>
      </c>
      <c r="J214" s="1" t="s">
        <v>279</v>
      </c>
      <c r="M214" s="1">
        <v>2</v>
      </c>
      <c r="N214" s="1">
        <v>50</v>
      </c>
      <c r="O214" s="4">
        <f>Table1[[#This Row],[Unit Price with SST 8%]]/1.08</f>
        <v>555.55555555555554</v>
      </c>
      <c r="P214" s="4">
        <v>600</v>
      </c>
      <c r="Q214" s="4">
        <f>Table1[[#This Row],[Unit Price without SST]]*Table1[[#This Row],[No of Unit]]*Table1[[#This Row],[Duration - Days]]</f>
        <v>55555.555555555555</v>
      </c>
      <c r="R214" s="67">
        <f>Table1[[#This Row],[Unit Price with SST 8%]]*Table1[[#This Row],[No of Unit]]*Table1[[#This Row],[Duration - Days]]</f>
        <v>60000</v>
      </c>
      <c r="S214" s="68">
        <f>Table1[[#This Row],[Total Price with SST 8%]]-Table1[[#This Row],[Total Price without SST]]</f>
        <v>4444.4444444444453</v>
      </c>
      <c r="T214" s="4"/>
      <c r="U214" s="88">
        <f>Table1[[#This Row],[Total Price with SST 8%]]-(Table1[[#This Row],[Total Price with SST 8%]]*Table1[[#This Row],[Discount %]]/100)</f>
        <v>60000</v>
      </c>
      <c r="V214" s="5"/>
      <c r="W214" s="5"/>
      <c r="X214" s="5"/>
      <c r="Y214" s="1" t="s">
        <v>405</v>
      </c>
    </row>
    <row r="215" spans="1:49" ht="15" customHeight="1">
      <c r="A215" s="1">
        <v>214</v>
      </c>
      <c r="B215" s="31">
        <v>46209</v>
      </c>
      <c r="C215" s="1" t="s">
        <v>25</v>
      </c>
      <c r="D215" s="1" t="s">
        <v>626</v>
      </c>
      <c r="E215" s="1" t="s">
        <v>628</v>
      </c>
      <c r="F215" s="1" t="s">
        <v>36</v>
      </c>
      <c r="G215" s="1" t="s">
        <v>279</v>
      </c>
      <c r="H215" s="1" t="s">
        <v>79</v>
      </c>
      <c r="I215" s="1" t="s">
        <v>627</v>
      </c>
      <c r="J215" s="1" t="s">
        <v>279</v>
      </c>
      <c r="M215" s="1">
        <v>2</v>
      </c>
      <c r="N215" s="1">
        <v>50</v>
      </c>
      <c r="O215" s="4">
        <f>Table1[[#This Row],[Unit Price with SST 8%]]/1.08</f>
        <v>462.96296296296293</v>
      </c>
      <c r="P215" s="4">
        <v>500</v>
      </c>
      <c r="Q215" s="4">
        <f>Table1[[#This Row],[Unit Price without SST]]*Table1[[#This Row],[No of Unit]]*Table1[[#This Row],[Duration - Days]]</f>
        <v>46296.296296296292</v>
      </c>
      <c r="R215" s="67">
        <f>Table1[[#This Row],[Unit Price with SST 8%]]*Table1[[#This Row],[No of Unit]]*Table1[[#This Row],[Duration - Days]]</f>
        <v>50000</v>
      </c>
      <c r="S215" s="68">
        <f>Table1[[#This Row],[Total Price with SST 8%]]-Table1[[#This Row],[Total Price without SST]]</f>
        <v>3703.703703703708</v>
      </c>
      <c r="T215" s="4"/>
      <c r="U215" s="88">
        <f>Table1[[#This Row],[Total Price with SST 8%]]-(Table1[[#This Row],[Total Price with SST 8%]]*Table1[[#This Row],[Discount %]]/100)</f>
        <v>50000</v>
      </c>
      <c r="V215" s="5"/>
      <c r="W215" s="5"/>
      <c r="X215" s="5"/>
      <c r="Y215" s="1" t="s">
        <v>405</v>
      </c>
    </row>
    <row r="216" spans="1:49" ht="15" customHeight="1">
      <c r="A216" s="1">
        <v>215</v>
      </c>
      <c r="B216" s="31">
        <v>46209</v>
      </c>
      <c r="C216" s="1" t="s">
        <v>25</v>
      </c>
      <c r="E216" s="1" t="s">
        <v>629</v>
      </c>
      <c r="F216" s="1" t="s">
        <v>36</v>
      </c>
      <c r="G216" s="1" t="s">
        <v>630</v>
      </c>
      <c r="H216" s="1" t="s">
        <v>79</v>
      </c>
      <c r="I216" s="1" t="s">
        <v>226</v>
      </c>
      <c r="J216" s="1" t="s">
        <v>631</v>
      </c>
      <c r="M216" s="1">
        <v>2</v>
      </c>
      <c r="N216" s="1">
        <v>20</v>
      </c>
      <c r="O216" s="4">
        <v>525</v>
      </c>
      <c r="P216" s="4">
        <f>Table1[[#This Row],[Unit Price without SST]]*1.08</f>
        <v>567</v>
      </c>
      <c r="Q216" s="4">
        <f>Table1[[#This Row],[Unit Price without SST]]*Table1[[#This Row],[No of Unit]]*Table1[[#This Row],[Duration - Days]]</f>
        <v>21000</v>
      </c>
      <c r="R216" s="67">
        <f>Table1[[#This Row],[Unit Price with SST 8%]]*Table1[[#This Row],[No of Unit]]*Table1[[#This Row],[Duration - Days]]</f>
        <v>22680</v>
      </c>
      <c r="S216" s="68">
        <f>Table1[[#This Row],[Total Price with SST 8%]]-Table1[[#This Row],[Total Price without SST]]</f>
        <v>1680</v>
      </c>
      <c r="T216" s="4"/>
      <c r="U216" s="88">
        <f>Table1[[#This Row],[Total Price with SST 8%]]-(Table1[[#This Row],[Total Price with SST 8%]]*Table1[[#This Row],[Discount %]]/100)</f>
        <v>22680</v>
      </c>
      <c r="V216" s="5"/>
      <c r="W216" s="5"/>
      <c r="X216" s="5"/>
      <c r="Y216" s="1" t="s">
        <v>405</v>
      </c>
    </row>
    <row r="217" spans="1:49" ht="15" customHeight="1">
      <c r="A217" s="1">
        <v>216</v>
      </c>
      <c r="B217" s="31">
        <v>46209</v>
      </c>
      <c r="C217" s="1" t="s">
        <v>25</v>
      </c>
      <c r="E217" s="1" t="s">
        <v>632</v>
      </c>
      <c r="F217" s="1" t="s">
        <v>36</v>
      </c>
      <c r="G217" s="1" t="s">
        <v>630</v>
      </c>
      <c r="H217" s="1" t="s">
        <v>79</v>
      </c>
      <c r="I217" s="1" t="s">
        <v>230</v>
      </c>
      <c r="J217" s="1" t="s">
        <v>631</v>
      </c>
      <c r="M217" s="1">
        <v>5</v>
      </c>
      <c r="N217" s="1">
        <v>15</v>
      </c>
      <c r="O217" s="4">
        <v>653.33000000000004</v>
      </c>
      <c r="P217" s="4">
        <f>Table1[[#This Row],[Unit Price without SST]]*1.08</f>
        <v>705.59640000000013</v>
      </c>
      <c r="Q217" s="4">
        <f>Table1[[#This Row],[Unit Price without SST]]*Table1[[#This Row],[No of Unit]]*Table1[[#This Row],[Duration - Days]]</f>
        <v>48999.75</v>
      </c>
      <c r="R217" s="67">
        <f>Table1[[#This Row],[Unit Price with SST 8%]]*Table1[[#This Row],[No of Unit]]*Table1[[#This Row],[Duration - Days]]</f>
        <v>52919.73000000001</v>
      </c>
      <c r="S217" s="68">
        <f>Table1[[#This Row],[Total Price with SST 8%]]-Table1[[#This Row],[Total Price without SST]]</f>
        <v>3919.9800000000105</v>
      </c>
      <c r="T217" s="4"/>
      <c r="U217" s="88">
        <f>Table1[[#This Row],[Total Price with SST 8%]]-(Table1[[#This Row],[Total Price with SST 8%]]*Table1[[#This Row],[Discount %]]/100)</f>
        <v>52919.73000000001</v>
      </c>
      <c r="V217" s="5"/>
      <c r="W217" s="5"/>
      <c r="X217" s="5"/>
      <c r="Y217" s="1" t="s">
        <v>405</v>
      </c>
    </row>
    <row r="218" spans="1:49" ht="15" customHeight="1">
      <c r="A218" s="1">
        <v>217</v>
      </c>
      <c r="B218" s="31">
        <v>46209</v>
      </c>
      <c r="C218" s="1" t="s">
        <v>25</v>
      </c>
      <c r="E218" s="1" t="s">
        <v>633</v>
      </c>
      <c r="F218" s="1" t="s">
        <v>27</v>
      </c>
      <c r="G218" s="1" t="s">
        <v>634</v>
      </c>
      <c r="H218" s="1" t="s">
        <v>79</v>
      </c>
      <c r="I218" s="1" t="s">
        <v>226</v>
      </c>
      <c r="J218" s="1" t="s">
        <v>635</v>
      </c>
      <c r="M218" s="1">
        <v>2</v>
      </c>
      <c r="N218" s="1">
        <v>2</v>
      </c>
      <c r="O218" s="4">
        <f>Table1[[#This Row],[Unit Price with SST 8%]]/1.08</f>
        <v>1989.9999999999998</v>
      </c>
      <c r="P218" s="4">
        <v>2149.1999999999998</v>
      </c>
      <c r="Q218" s="4">
        <f>Table1[[#This Row],[Unit Price without SST]]*Table1[[#This Row],[No of Unit]]</f>
        <v>3979.9999999999995</v>
      </c>
      <c r="R218" s="67">
        <f>Table1[[#This Row],[Unit Price with SST 8%]]*Table1[[#This Row],[No of Unit]]</f>
        <v>4298.3999999999996</v>
      </c>
      <c r="S218" s="68">
        <f>Table1[[#This Row],[Total Price with SST 8%]]-Table1[[#This Row],[Total Price without SST]]</f>
        <v>318.40000000000009</v>
      </c>
      <c r="T218" s="4"/>
      <c r="U218" s="88">
        <f>Table1[[#This Row],[Total Price with SST 8%]]-(Table1[[#This Row],[Total Price with SST 8%]]*Table1[[#This Row],[Discount %]]/100)</f>
        <v>4298.3999999999996</v>
      </c>
      <c r="V218" s="5"/>
      <c r="W218" s="5"/>
      <c r="X218" s="5"/>
      <c r="Y218" s="1" t="s">
        <v>298</v>
      </c>
    </row>
    <row r="219" spans="1:49" ht="15" customHeight="1">
      <c r="A219" s="1">
        <v>218</v>
      </c>
      <c r="B219" s="31">
        <v>46209</v>
      </c>
      <c r="C219" s="1" t="s">
        <v>25</v>
      </c>
      <c r="E219" s="1" t="s">
        <v>636</v>
      </c>
      <c r="F219" s="1" t="s">
        <v>27</v>
      </c>
      <c r="G219" s="1" t="s">
        <v>637</v>
      </c>
      <c r="H219" s="1" t="s">
        <v>79</v>
      </c>
      <c r="I219" s="1" t="s">
        <v>226</v>
      </c>
      <c r="J219" s="1" t="s">
        <v>637</v>
      </c>
      <c r="M219" s="1">
        <v>2</v>
      </c>
      <c r="N219" s="1">
        <v>1</v>
      </c>
      <c r="O219" s="4">
        <f>Table1[[#This Row],[Unit Price with SST 8%]]/1.08</f>
        <v>100</v>
      </c>
      <c r="P219" s="4">
        <v>108</v>
      </c>
      <c r="Q219" s="4">
        <f>Table1[[#This Row],[Unit Price without SST]]*Table1[[#This Row],[No of Unit]]</f>
        <v>100</v>
      </c>
      <c r="R219" s="67">
        <f>Table1[[#This Row],[Unit Price with SST 8%]]*Table1[[#This Row],[No of Unit]]</f>
        <v>108</v>
      </c>
      <c r="S219" s="68">
        <f>Table1[[#This Row],[Total Price with SST 8%]]-Table1[[#This Row],[Total Price without SST]]</f>
        <v>8</v>
      </c>
      <c r="T219" s="4"/>
      <c r="U219" s="88">
        <f>Table1[[#This Row],[Total Price with SST 8%]]-(Table1[[#This Row],[Total Price with SST 8%]]*Table1[[#This Row],[Discount %]]/100)</f>
        <v>108</v>
      </c>
      <c r="V219" s="5"/>
      <c r="W219" s="5"/>
      <c r="X219" s="5"/>
      <c r="Y219" s="1" t="s">
        <v>298</v>
      </c>
    </row>
    <row r="220" spans="1:49" ht="15" customHeight="1">
      <c r="A220" s="1">
        <v>219</v>
      </c>
      <c r="B220" s="31">
        <v>46210</v>
      </c>
      <c r="C220" s="1" t="s">
        <v>25</v>
      </c>
      <c r="D220" s="1" t="s">
        <v>593</v>
      </c>
      <c r="E220" s="1" t="s">
        <v>638</v>
      </c>
      <c r="F220" s="1" t="s">
        <v>36</v>
      </c>
      <c r="G220" s="1" t="s">
        <v>594</v>
      </c>
      <c r="H220" s="1" t="s">
        <v>79</v>
      </c>
      <c r="I220" s="1" t="s">
        <v>226</v>
      </c>
      <c r="J220" s="1" t="s">
        <v>595</v>
      </c>
      <c r="K220" s="1">
        <v>8</v>
      </c>
      <c r="L220" s="1">
        <v>25</v>
      </c>
      <c r="M220" s="1">
        <v>1</v>
      </c>
      <c r="N220" s="1">
        <v>8</v>
      </c>
      <c r="O220" s="4">
        <v>15000</v>
      </c>
      <c r="P220" s="4">
        <f>Table1[[#This Row],[Unit Price without SST]]*1.08</f>
        <v>16200.000000000002</v>
      </c>
      <c r="Q220" s="4">
        <f>Table1[[#This Row],[Unit Price without SST]]*Table1[[#This Row],[No of Unit]]*Table1[[#This Row],[Duration - Days]]</f>
        <v>120000</v>
      </c>
      <c r="R220" s="67">
        <f>Table1[[#This Row],[Unit Price with SST 8%]]*Table1[[#This Row],[No of Unit]]*Table1[[#This Row],[Duration - Days]]</f>
        <v>129600.00000000001</v>
      </c>
      <c r="S220" s="68">
        <f>Table1[[#This Row],[Total Price with SST 8%]]-Table1[[#This Row],[Total Price without SST]]</f>
        <v>9600.0000000000146</v>
      </c>
      <c r="T220" s="4"/>
      <c r="U220" s="88">
        <f>Table1[[#This Row],[Total Price with SST 8%]]-(Table1[[#This Row],[Total Price with SST 8%]]*Table1[[#This Row],[Discount %]]/100)</f>
        <v>129600.00000000001</v>
      </c>
      <c r="V220" s="5"/>
      <c r="W220" s="5"/>
      <c r="X220" s="5"/>
      <c r="Y220" s="1" t="s">
        <v>405</v>
      </c>
    </row>
    <row r="221" spans="1:49" ht="15" customHeight="1">
      <c r="A221" s="1">
        <v>220</v>
      </c>
      <c r="B221" s="31">
        <v>46210</v>
      </c>
      <c r="C221" s="1" t="s">
        <v>25</v>
      </c>
      <c r="D221" s="1" t="s">
        <v>129</v>
      </c>
      <c r="E221" s="1" t="s">
        <v>639</v>
      </c>
      <c r="F221" s="1" t="s">
        <v>36</v>
      </c>
      <c r="G221" s="1" t="s">
        <v>130</v>
      </c>
      <c r="H221" s="1" t="s">
        <v>79</v>
      </c>
      <c r="I221" s="1" t="s">
        <v>131</v>
      </c>
      <c r="J221" s="1" t="s">
        <v>132</v>
      </c>
      <c r="K221" s="1">
        <v>2</v>
      </c>
      <c r="L221" s="1">
        <v>8</v>
      </c>
      <c r="M221" s="1">
        <v>2</v>
      </c>
      <c r="N221" s="1">
        <v>10</v>
      </c>
      <c r="O221" s="4">
        <f>Table1[[#This Row],[Unit Price with SST 8%]]/1.08</f>
        <v>925.92592592592587</v>
      </c>
      <c r="P221" s="4">
        <v>1000</v>
      </c>
      <c r="Q221" s="4">
        <f>Table1[[#This Row],[Unit Price without SST]]*Table1[[#This Row],[No of Unit]]*Table1[[#This Row],[Duration - Days]]</f>
        <v>18518.518518518518</v>
      </c>
      <c r="R221" s="67">
        <f>Table1[[#This Row],[Unit Price with SST 8%]]*Table1[[#This Row],[No of Unit]]*Table1[[#This Row],[Duration - Days]]</f>
        <v>20000</v>
      </c>
      <c r="S221" s="68">
        <f>Table1[[#This Row],[Total Price with SST 8%]]-Table1[[#This Row],[Total Price without SST]]</f>
        <v>1481.4814814814818</v>
      </c>
      <c r="T221" s="4"/>
      <c r="U221" s="88">
        <f>Table1[[#This Row],[Total Price with SST 8%]]-(Table1[[#This Row],[Total Price with SST 8%]]*Table1[[#This Row],[Discount %]]/100)</f>
        <v>20000</v>
      </c>
      <c r="V221" s="5"/>
      <c r="W221" s="5"/>
      <c r="X221" s="5"/>
      <c r="Y221" s="1" t="s">
        <v>405</v>
      </c>
    </row>
    <row r="222" spans="1:49" ht="15" customHeight="1">
      <c r="A222" s="1">
        <v>221</v>
      </c>
      <c r="B222" s="83">
        <v>46087</v>
      </c>
      <c r="C222" s="84" t="s">
        <v>25</v>
      </c>
      <c r="D222" s="1" t="s">
        <v>523</v>
      </c>
      <c r="E222" s="1" t="s">
        <v>640</v>
      </c>
      <c r="F222" s="1" t="s">
        <v>36</v>
      </c>
      <c r="G222" s="84" t="s">
        <v>78</v>
      </c>
      <c r="H222" s="1" t="s">
        <v>79</v>
      </c>
      <c r="I222" s="23" t="s">
        <v>80</v>
      </c>
      <c r="J222" s="15" t="s">
        <v>78</v>
      </c>
      <c r="K222" s="23">
        <v>2</v>
      </c>
      <c r="L222" s="23">
        <v>25</v>
      </c>
      <c r="M222" s="23">
        <v>2</v>
      </c>
      <c r="N222" s="23">
        <v>25</v>
      </c>
      <c r="O222" s="24">
        <f>Table1[[#This Row],[Unit Price with SST 8%]]/1.08</f>
        <v>444.4444444444444</v>
      </c>
      <c r="P222" s="24">
        <v>480</v>
      </c>
      <c r="Q222" s="24">
        <f>Table1[[#This Row],[Unit Price without SST]]*Table1[[#This Row],[No of Unit]]</f>
        <v>11111.111111111109</v>
      </c>
      <c r="R222" s="67">
        <f>Table1[[#This Row],[Unit Price with SST 8%]]*Table1[[#This Row],[No of Unit]]</f>
        <v>12000</v>
      </c>
      <c r="S222" s="68">
        <f>Table1[[#This Row],[Total Price with SST 8%]]-Table1[[#This Row],[Total Price without SST]]</f>
        <v>888.88888888889051</v>
      </c>
      <c r="T222" s="4"/>
      <c r="U222" s="88">
        <f>Table1[[#This Row],[Total Price with SST 8%]]-(Table1[[#This Row],[Total Price with SST 8%]]*Table1[[#This Row],[Discount %]]/100)</f>
        <v>12000</v>
      </c>
      <c r="V222" s="5"/>
      <c r="W222" s="5"/>
      <c r="X222" s="5"/>
      <c r="Y222" s="1" t="s">
        <v>405</v>
      </c>
    </row>
    <row r="223" spans="1:49" ht="15" customHeight="1">
      <c r="A223" s="1">
        <v>222</v>
      </c>
      <c r="B223" s="83">
        <v>46087</v>
      </c>
      <c r="C223" s="84" t="s">
        <v>25</v>
      </c>
      <c r="D223" s="1" t="s">
        <v>524</v>
      </c>
      <c r="E223" s="1" t="s">
        <v>641</v>
      </c>
      <c r="F223" s="1" t="s">
        <v>36</v>
      </c>
      <c r="G223" s="84" t="s">
        <v>78</v>
      </c>
      <c r="H223" s="1" t="s">
        <v>79</v>
      </c>
      <c r="I223" s="1" t="s">
        <v>83</v>
      </c>
      <c r="J223" s="15" t="s">
        <v>78</v>
      </c>
      <c r="K223" s="1">
        <v>3</v>
      </c>
      <c r="L223" s="1">
        <v>25</v>
      </c>
      <c r="M223" s="1">
        <v>3</v>
      </c>
      <c r="N223" s="1">
        <v>25</v>
      </c>
      <c r="O223" s="4">
        <f>Table1[[#This Row],[Unit Price with SST 8%]]/1.08</f>
        <v>666.66666666666663</v>
      </c>
      <c r="P223" s="4">
        <v>720</v>
      </c>
      <c r="Q223" s="4">
        <f>Table1[[#This Row],[Unit Price without SST]]*Table1[[#This Row],[No of Unit]]</f>
        <v>16666.666666666664</v>
      </c>
      <c r="R223" s="67">
        <f>Table1[[#This Row],[Unit Price with SST 8%]]*Table1[[#This Row],[No of Unit]]</f>
        <v>18000</v>
      </c>
      <c r="S223" s="68">
        <f>Table1[[#This Row],[Total Price with SST 8%]]-Table1[[#This Row],[Total Price without SST]]</f>
        <v>1333.3333333333358</v>
      </c>
      <c r="T223" s="4"/>
      <c r="U223" s="88">
        <f>Table1[[#This Row],[Total Price with SST 8%]]-(Table1[[#This Row],[Total Price with SST 8%]]*Table1[[#This Row],[Discount %]]/100)</f>
        <v>18000</v>
      </c>
      <c r="V223" s="5"/>
      <c r="W223" s="5"/>
      <c r="X223" s="5"/>
      <c r="Y223" s="1" t="s">
        <v>405</v>
      </c>
    </row>
    <row r="224" spans="1:49" ht="14.5">
      <c r="A224" s="1">
        <v>223</v>
      </c>
      <c r="B224" s="83">
        <v>46087</v>
      </c>
      <c r="C224" s="84" t="s">
        <v>25</v>
      </c>
      <c r="D224" s="1" t="s">
        <v>525</v>
      </c>
      <c r="E224" s="1" t="s">
        <v>642</v>
      </c>
      <c r="F224" s="1" t="s">
        <v>36</v>
      </c>
      <c r="G224" s="84" t="s">
        <v>78</v>
      </c>
      <c r="H224" s="1" t="s">
        <v>79</v>
      </c>
      <c r="I224" s="1" t="s">
        <v>85</v>
      </c>
      <c r="J224" s="15" t="s">
        <v>78</v>
      </c>
      <c r="K224" s="1">
        <v>4</v>
      </c>
      <c r="L224" s="1">
        <v>25</v>
      </c>
      <c r="M224" s="1">
        <v>4</v>
      </c>
      <c r="N224" s="1">
        <v>25</v>
      </c>
      <c r="O224" s="4">
        <f>Table1[[#This Row],[Unit Price with SST 8%]]/1.08</f>
        <v>888.8888888888888</v>
      </c>
      <c r="P224" s="4">
        <v>960</v>
      </c>
      <c r="Q224" s="4">
        <f>Table1[[#This Row],[Unit Price without SST]]*Table1[[#This Row],[No of Unit]]</f>
        <v>22222.222222222219</v>
      </c>
      <c r="R224" s="67">
        <f>Table1[[#This Row],[Unit Price with SST 8%]]*Table1[[#This Row],[No of Unit]]</f>
        <v>24000</v>
      </c>
      <c r="S224" s="68">
        <f>Table1[[#This Row],[Total Price with SST 8%]]-Table1[[#This Row],[Total Price without SST]]</f>
        <v>1777.777777777781</v>
      </c>
      <c r="T224" s="4"/>
      <c r="U224" s="88">
        <f>Table1[[#This Row],[Total Price with SST 8%]]-(Table1[[#This Row],[Total Price with SST 8%]]*Table1[[#This Row],[Discount %]]/100)</f>
        <v>24000</v>
      </c>
      <c r="V224" s="5"/>
      <c r="W224" s="5"/>
      <c r="X224" s="5"/>
      <c r="Y224" s="1" t="s">
        <v>405</v>
      </c>
    </row>
    <row r="225" spans="1:25" ht="15" customHeight="1">
      <c r="A225" s="1">
        <v>224</v>
      </c>
      <c r="B225" s="83">
        <v>46087</v>
      </c>
      <c r="C225" s="84" t="s">
        <v>25</v>
      </c>
      <c r="D225" s="1" t="s">
        <v>526</v>
      </c>
      <c r="E225" s="1" t="s">
        <v>643</v>
      </c>
      <c r="F225" s="1" t="s">
        <v>36</v>
      </c>
      <c r="G225" s="84" t="s">
        <v>78</v>
      </c>
      <c r="H225" s="1" t="s">
        <v>79</v>
      </c>
      <c r="I225" s="1" t="s">
        <v>87</v>
      </c>
      <c r="J225" s="15" t="s">
        <v>78</v>
      </c>
      <c r="K225" s="1">
        <v>1</v>
      </c>
      <c r="L225" s="1">
        <v>25</v>
      </c>
      <c r="M225" s="1">
        <v>1</v>
      </c>
      <c r="N225" s="1">
        <v>25</v>
      </c>
      <c r="O225" s="4">
        <f>Table1[[#This Row],[Unit Price with SST 8%]]/1.08</f>
        <v>222.2222222222222</v>
      </c>
      <c r="P225" s="4">
        <v>240</v>
      </c>
      <c r="Q225" s="4">
        <f>Table1[[#This Row],[Unit Price without SST]]*Table1[[#This Row],[No of Unit]]</f>
        <v>5555.5555555555547</v>
      </c>
      <c r="R225" s="67">
        <f>Table1[[#This Row],[Unit Price with SST 8%]]*Table1[[#This Row],[No of Unit]]</f>
        <v>6000</v>
      </c>
      <c r="S225" s="68">
        <f>Table1[[#This Row],[Total Price with SST 8%]]-Table1[[#This Row],[Total Price without SST]]</f>
        <v>444.44444444444525</v>
      </c>
      <c r="T225" s="4"/>
      <c r="U225" s="88">
        <f>Table1[[#This Row],[Total Price with SST 8%]]-(Table1[[#This Row],[Total Price with SST 8%]]*Table1[[#This Row],[Discount %]]/100)</f>
        <v>6000</v>
      </c>
      <c r="V225" s="5"/>
      <c r="W225" s="5"/>
      <c r="X225" s="5"/>
      <c r="Y225" s="1" t="s">
        <v>405</v>
      </c>
    </row>
    <row r="226" spans="1:25" ht="15" customHeight="1">
      <c r="A226" s="1">
        <v>225</v>
      </c>
      <c r="B226" s="83">
        <v>46087</v>
      </c>
      <c r="C226" s="84" t="s">
        <v>25</v>
      </c>
      <c r="D226" s="1" t="s">
        <v>527</v>
      </c>
      <c r="E226" s="1" t="s">
        <v>644</v>
      </c>
      <c r="F226" s="1" t="s">
        <v>36</v>
      </c>
      <c r="G226" s="84" t="s">
        <v>78</v>
      </c>
      <c r="H226" s="1" t="s">
        <v>79</v>
      </c>
      <c r="I226" s="1" t="s">
        <v>89</v>
      </c>
      <c r="J226" s="15" t="s">
        <v>78</v>
      </c>
      <c r="K226" s="1">
        <v>2</v>
      </c>
      <c r="L226" s="1">
        <v>25</v>
      </c>
      <c r="M226" s="1">
        <v>2</v>
      </c>
      <c r="N226" s="1">
        <v>25</v>
      </c>
      <c r="O226" s="4">
        <f>Table1[[#This Row],[Unit Price with SST 8%]]/1.08</f>
        <v>444.4444444444444</v>
      </c>
      <c r="P226" s="4">
        <v>480</v>
      </c>
      <c r="Q226" s="4">
        <f>Table1[[#This Row],[Unit Price without SST]]*Table1[[#This Row],[No of Unit]]</f>
        <v>11111.111111111109</v>
      </c>
      <c r="R226" s="67">
        <f>Table1[[#This Row],[Unit Price with SST 8%]]*Table1[[#This Row],[No of Unit]]</f>
        <v>12000</v>
      </c>
      <c r="S226" s="68">
        <f>Table1[[#This Row],[Total Price with SST 8%]]-Table1[[#This Row],[Total Price without SST]]</f>
        <v>888.88888888889051</v>
      </c>
      <c r="T226" s="4"/>
      <c r="U226" s="88">
        <f>Table1[[#This Row],[Total Price with SST 8%]]-(Table1[[#This Row],[Total Price with SST 8%]]*Table1[[#This Row],[Discount %]]/100)</f>
        <v>12000</v>
      </c>
      <c r="V226" s="5"/>
      <c r="W226" s="5"/>
      <c r="X226" s="5"/>
      <c r="Y226" s="1" t="s">
        <v>405</v>
      </c>
    </row>
    <row r="227" spans="1:25" ht="15" customHeight="1">
      <c r="A227" s="1">
        <v>226</v>
      </c>
      <c r="B227" s="31">
        <v>46212</v>
      </c>
      <c r="C227" s="1" t="s">
        <v>25</v>
      </c>
      <c r="E227" s="1" t="s">
        <v>645</v>
      </c>
      <c r="F227" s="1" t="s">
        <v>36</v>
      </c>
      <c r="G227" s="1" t="s">
        <v>646</v>
      </c>
      <c r="H227" s="1" t="s">
        <v>194</v>
      </c>
      <c r="I227" s="1" t="s">
        <v>571</v>
      </c>
      <c r="J227" s="1" t="s">
        <v>182</v>
      </c>
      <c r="M227" s="1">
        <v>2</v>
      </c>
      <c r="N227" s="1">
        <v>30</v>
      </c>
      <c r="O227" s="4">
        <f>Table1[[#This Row],[Unit Price with SST 8%]]/1.08</f>
        <v>1018.5185185185185</v>
      </c>
      <c r="P227" s="4">
        <v>1100</v>
      </c>
      <c r="Q227" s="4">
        <f>Table1[[#This Row],[Unit Price without SST]]*Table1[[#This Row],[No of Unit]]</f>
        <v>30555.555555555555</v>
      </c>
      <c r="R227" s="67">
        <f>Table1[[#This Row],[Unit Price with SST 8%]]*Table1[[#This Row],[No of Unit]]</f>
        <v>33000</v>
      </c>
      <c r="S227" s="68">
        <f>Table1[[#This Row],[Total Price with SST 8%]]-Table1[[#This Row],[Total Price without SST]]</f>
        <v>2444.4444444444453</v>
      </c>
      <c r="T227" s="4"/>
      <c r="U227" s="88">
        <f>Table1[[#This Row],[Total Price with SST 8%]]-(Table1[[#This Row],[Total Price with SST 8%]]*Table1[[#This Row],[Discount %]]/100)</f>
        <v>33000</v>
      </c>
      <c r="V227" s="5" t="s">
        <v>33</v>
      </c>
      <c r="W227" s="5"/>
      <c r="X227" s="5"/>
      <c r="Y227" s="1" t="s">
        <v>194</v>
      </c>
    </row>
    <row r="228" spans="1:25" ht="15" customHeight="1">
      <c r="A228" s="1">
        <v>227</v>
      </c>
      <c r="B228" s="31">
        <v>46213</v>
      </c>
      <c r="C228" s="1" t="s">
        <v>25</v>
      </c>
      <c r="E228" s="1" t="s">
        <v>647</v>
      </c>
      <c r="F228" s="1" t="s">
        <v>27</v>
      </c>
      <c r="G228" s="1" t="s">
        <v>648</v>
      </c>
      <c r="H228" s="1" t="s">
        <v>79</v>
      </c>
      <c r="I228" s="1" t="s">
        <v>649</v>
      </c>
      <c r="J228" s="1" t="s">
        <v>648</v>
      </c>
      <c r="M228" s="1">
        <v>20</v>
      </c>
      <c r="N228" s="1">
        <v>3</v>
      </c>
      <c r="O228" s="4">
        <v>1250</v>
      </c>
      <c r="P228" s="4">
        <f>Table1[[#This Row],[Unit Price without SST]]*1.08</f>
        <v>1350</v>
      </c>
      <c r="Q228" s="4">
        <f>Table1[[#This Row],[Unit Price without SST]]*Table1[[#This Row],[No of Unit]]*Table1[[#This Row],[Duration - Days]]</f>
        <v>75000</v>
      </c>
      <c r="R228" s="67">
        <f>Table1[[#This Row],[Unit Price with SST 8%]]*Table1[[#This Row],[No of Unit]]*Table1[[#This Row],[Duration - Days]]</f>
        <v>81000</v>
      </c>
      <c r="S228" s="68">
        <f>Table1[[#This Row],[Total Price with SST 8%]]-Table1[[#This Row],[Total Price without SST]]</f>
        <v>6000</v>
      </c>
      <c r="T228" s="4"/>
      <c r="U228" s="88">
        <f>Table1[[#This Row],[Total Price with SST 8%]]-(Table1[[#This Row],[Total Price with SST 8%]]*Table1[[#This Row],[Discount %]]/100)</f>
        <v>81000</v>
      </c>
      <c r="V228" s="5"/>
      <c r="W228" s="5"/>
      <c r="X228" s="5"/>
      <c r="Y228" s="1" t="s">
        <v>405</v>
      </c>
    </row>
    <row r="229" spans="1:25" ht="15" customHeight="1">
      <c r="A229" s="1">
        <v>228</v>
      </c>
      <c r="B229" s="31">
        <v>46217</v>
      </c>
      <c r="C229" s="1" t="s">
        <v>25</v>
      </c>
      <c r="E229" s="1" t="s">
        <v>650</v>
      </c>
      <c r="F229" s="1" t="s">
        <v>36</v>
      </c>
      <c r="G229" s="1" t="s">
        <v>651</v>
      </c>
      <c r="H229" s="1" t="s">
        <v>194</v>
      </c>
      <c r="I229" s="1" t="s">
        <v>571</v>
      </c>
      <c r="J229" s="1" t="s">
        <v>652</v>
      </c>
      <c r="M229" s="1">
        <v>2</v>
      </c>
      <c r="N229" s="1">
        <v>25</v>
      </c>
      <c r="O229" s="4">
        <f>Table1[[#This Row],[Unit Price with SST 8%]]/1.08</f>
        <v>777.77777777777771</v>
      </c>
      <c r="P229" s="4">
        <v>840</v>
      </c>
      <c r="Q229" s="4">
        <f>Table1[[#This Row],[Unit Price without SST]]*Table1[[#This Row],[No of Unit]]</f>
        <v>19444.444444444442</v>
      </c>
      <c r="R229" s="67">
        <f>Table1[[#This Row],[Unit Price with SST 8%]]*Table1[[#This Row],[No of Unit]]</f>
        <v>21000</v>
      </c>
      <c r="S229" s="68">
        <f>Table1[[#This Row],[Total Price with SST 8%]]-Table1[[#This Row],[Total Price without SST]]</f>
        <v>1555.5555555555584</v>
      </c>
      <c r="T229" s="4"/>
      <c r="U229" s="88">
        <f>Table1[[#This Row],[Total Price with SST 8%]]-(Table1[[#This Row],[Total Price with SST 8%]]*Table1[[#This Row],[Discount %]]/100)</f>
        <v>21000</v>
      </c>
      <c r="V229" s="5" t="s">
        <v>33</v>
      </c>
      <c r="W229" s="5"/>
      <c r="X229" s="5"/>
      <c r="Y229" s="1" t="s">
        <v>194</v>
      </c>
    </row>
    <row r="230" spans="1:25" ht="15" customHeight="1">
      <c r="A230" s="1">
        <v>229</v>
      </c>
      <c r="B230" s="31">
        <v>46217</v>
      </c>
      <c r="C230" s="1" t="s">
        <v>25</v>
      </c>
      <c r="E230" s="1" t="s">
        <v>653</v>
      </c>
      <c r="F230" s="1" t="s">
        <v>36</v>
      </c>
      <c r="G230" s="1" t="s">
        <v>651</v>
      </c>
      <c r="H230" s="1" t="s">
        <v>194</v>
      </c>
      <c r="I230" s="1" t="s">
        <v>654</v>
      </c>
      <c r="J230" s="1" t="s">
        <v>652</v>
      </c>
      <c r="M230" s="1">
        <v>1</v>
      </c>
      <c r="N230" s="1">
        <v>25</v>
      </c>
      <c r="O230" s="4">
        <f>Table1[[#This Row],[Unit Price with SST 8%]]/1.08</f>
        <v>388.88888888888886</v>
      </c>
      <c r="P230" s="2">
        <v>420</v>
      </c>
      <c r="Q230" s="4">
        <f>Table1[[#This Row],[Unit Price without SST]]*Table1[[#This Row],[No of Unit]]</f>
        <v>9722.2222222222208</v>
      </c>
      <c r="R230" s="5">
        <f>Table1[[#This Row],[Unit Price with SST 8%]]*Table1[[#This Row],[No of Unit]]</f>
        <v>10500</v>
      </c>
      <c r="S230" s="3">
        <f>Table1[[#This Row],[Total Price with SST 8%]]-Table1[[#This Row],[Total Price without SST]]</f>
        <v>777.77777777777919</v>
      </c>
      <c r="U230" s="22">
        <f>Table1[[#This Row],[Total Price with SST 8%]]-(Table1[[#This Row],[Total Price with SST 8%]]*Table1[[#This Row],[Discount %]]/100)</f>
        <v>10500</v>
      </c>
      <c r="V230" s="5"/>
      <c r="W230" s="5"/>
      <c r="X230" s="5"/>
    </row>
    <row r="231" spans="1:25" ht="15" customHeight="1">
      <c r="A231" s="1">
        <v>230</v>
      </c>
      <c r="B231" s="31">
        <v>46217</v>
      </c>
      <c r="C231" s="15" t="s">
        <v>25</v>
      </c>
      <c r="D231" s="15" t="s">
        <v>25</v>
      </c>
      <c r="E231" s="89" t="s">
        <v>655</v>
      </c>
      <c r="F231" s="15" t="s">
        <v>36</v>
      </c>
      <c r="G231" s="15" t="s">
        <v>344</v>
      </c>
      <c r="H231" s="1" t="s">
        <v>79</v>
      </c>
      <c r="I231" s="15" t="s">
        <v>343</v>
      </c>
      <c r="J231" s="15" t="s">
        <v>341</v>
      </c>
      <c r="M231" s="1">
        <v>2</v>
      </c>
      <c r="N231" s="1">
        <v>25</v>
      </c>
      <c r="O231" s="4">
        <v>420</v>
      </c>
      <c r="P231" s="4">
        <f>Table1[[#This Row],[Unit Price without SST]]*1.08</f>
        <v>453.6</v>
      </c>
      <c r="Q231" s="4">
        <f>Table1[[#This Row],[Unit Price without SST]]*Table1[[#This Row],[No of Unit]]*Table1[[#This Row],[Duration - Days]]</f>
        <v>21000</v>
      </c>
      <c r="R231" s="67">
        <f>Table1[[#This Row],[Unit Price with SST 8%]]*Table1[[#This Row],[No of Unit]]*Table1[[#This Row],[Duration - Days]]</f>
        <v>22680</v>
      </c>
      <c r="S231" s="68">
        <f>Table1[[#This Row],[Total Price with SST 8%]]-Table1[[#This Row],[Total Price without SST]]</f>
        <v>1680</v>
      </c>
      <c r="T231" s="4"/>
      <c r="U231" s="88">
        <f>Table1[[#This Row],[Total Price with SST 8%]]-(Table1[[#This Row],[Total Price with SST 8%]]*Table1[[#This Row],[Discount %]]/100)</f>
        <v>22680</v>
      </c>
      <c r="V231" s="5"/>
      <c r="W231" s="5"/>
      <c r="X231" s="5"/>
      <c r="Y231" s="1" t="s">
        <v>405</v>
      </c>
    </row>
    <row r="232" spans="1:25" ht="15" customHeight="1">
      <c r="A232" s="1">
        <v>231</v>
      </c>
      <c r="B232" s="31">
        <v>46217</v>
      </c>
      <c r="C232" s="15" t="s">
        <v>25</v>
      </c>
      <c r="D232" s="15" t="s">
        <v>25</v>
      </c>
      <c r="E232" s="89" t="s">
        <v>655</v>
      </c>
      <c r="F232" s="15" t="s">
        <v>36</v>
      </c>
      <c r="G232" s="15" t="s">
        <v>344</v>
      </c>
      <c r="H232" s="1" t="s">
        <v>79</v>
      </c>
      <c r="I232" s="15" t="s">
        <v>345</v>
      </c>
      <c r="J232" s="15" t="s">
        <v>341</v>
      </c>
      <c r="M232" s="1">
        <v>2</v>
      </c>
      <c r="N232" s="1">
        <v>25</v>
      </c>
      <c r="O232" s="4">
        <v>60</v>
      </c>
      <c r="P232" s="4">
        <f>Table1[[#This Row],[Unit Price without SST]]*1.08</f>
        <v>64.800000000000011</v>
      </c>
      <c r="Q232" s="4">
        <f>Table1[[#This Row],[Unit Price without SST]]*Table1[[#This Row],[No of Unit]]*Table1[[#This Row],[Duration - Days]]</f>
        <v>3000</v>
      </c>
      <c r="R232" s="67">
        <f>Table1[[#This Row],[Unit Price with SST 8%]]*Table1[[#This Row],[No of Unit]]*Table1[[#This Row],[Duration - Days]]</f>
        <v>3240.0000000000005</v>
      </c>
      <c r="S232" s="68">
        <f>Table1[[#This Row],[Total Price with SST 8%]]-Table1[[#This Row],[Total Price without SST]]</f>
        <v>240.00000000000045</v>
      </c>
      <c r="T232" s="4"/>
      <c r="U232" s="88">
        <f>Table1[[#This Row],[Total Price with SST 8%]]-(Table1[[#This Row],[Total Price with SST 8%]]*Table1[[#This Row],[Discount %]]/100)</f>
        <v>3240.0000000000005</v>
      </c>
      <c r="V232" s="5"/>
      <c r="W232" s="5"/>
      <c r="X232" s="5"/>
      <c r="Y232" s="1" t="s">
        <v>405</v>
      </c>
    </row>
    <row r="233" spans="1:25" ht="15" customHeight="1">
      <c r="A233" s="1">
        <v>232</v>
      </c>
      <c r="B233" s="31">
        <v>46217</v>
      </c>
      <c r="C233" s="1" t="s">
        <v>25</v>
      </c>
      <c r="D233" s="1" t="s">
        <v>626</v>
      </c>
      <c r="E233" s="1" t="s">
        <v>656</v>
      </c>
      <c r="F233" s="1" t="s">
        <v>36</v>
      </c>
      <c r="G233" s="1" t="s">
        <v>279</v>
      </c>
      <c r="H233" s="1" t="s">
        <v>79</v>
      </c>
      <c r="I233" s="1" t="s">
        <v>627</v>
      </c>
      <c r="J233" s="1" t="s">
        <v>279</v>
      </c>
      <c r="M233" s="1">
        <v>2</v>
      </c>
      <c r="N233" s="1">
        <v>40</v>
      </c>
      <c r="O233" s="4">
        <f>Table1[[#This Row],[Unit Price with SST 8%]]/1.08</f>
        <v>310.18518518518516</v>
      </c>
      <c r="P233" s="2">
        <v>335</v>
      </c>
      <c r="Q233" s="4">
        <f>Table1[[#This Row],[Unit Price without SST]]*Table1[[#This Row],[No of Unit]]*Table1[[#This Row],[Duration - Days]]</f>
        <v>24814.814814814814</v>
      </c>
      <c r="R233" s="67">
        <f>Table1[[#This Row],[Unit Price with SST 8%]]*Table1[[#This Row],[No of Unit]]*Table1[[#This Row],[Duration - Days]]</f>
        <v>26800</v>
      </c>
      <c r="S233" s="3">
        <f>Table1[[#This Row],[Total Price with SST 8%]]-Table1[[#This Row],[Total Price without SST]]</f>
        <v>1985.1851851851861</v>
      </c>
      <c r="U233" s="22">
        <f>Table1[[#This Row],[Total Price with SST 8%]]-(Table1[[#This Row],[Total Price with SST 8%]]*Table1[[#This Row],[Discount %]]/100)</f>
        <v>26800</v>
      </c>
      <c r="V233" s="5"/>
      <c r="W233" s="5"/>
      <c r="X233" s="5"/>
      <c r="Y233" s="1" t="s">
        <v>405</v>
      </c>
    </row>
    <row r="234" spans="1:25" ht="15" customHeight="1">
      <c r="A234" s="1">
        <v>233</v>
      </c>
      <c r="B234" s="31">
        <v>46217</v>
      </c>
      <c r="C234" s="1" t="s">
        <v>25</v>
      </c>
      <c r="D234" s="1" t="s">
        <v>626</v>
      </c>
      <c r="E234" s="1" t="s">
        <v>656</v>
      </c>
      <c r="F234" s="1" t="s">
        <v>36</v>
      </c>
      <c r="G234" s="1" t="s">
        <v>279</v>
      </c>
      <c r="H234" s="1" t="s">
        <v>79</v>
      </c>
      <c r="I234" s="1" t="s">
        <v>345</v>
      </c>
      <c r="J234" s="1" t="s">
        <v>279</v>
      </c>
      <c r="M234" s="1">
        <v>2</v>
      </c>
      <c r="N234" s="1">
        <v>40</v>
      </c>
      <c r="O234" s="4">
        <f>Table1[[#This Row],[Unit Price with SST 8%]]/1.08</f>
        <v>259.25925925925924</v>
      </c>
      <c r="P234" s="2">
        <v>280</v>
      </c>
      <c r="Q234" s="4">
        <f>Table1[[#This Row],[Unit Price without SST]]*Table1[[#This Row],[No of Unit]]*Table1[[#This Row],[Duration - Days]]</f>
        <v>20740.740740740737</v>
      </c>
      <c r="R234" s="67">
        <f>Table1[[#This Row],[Unit Price with SST 8%]]*Table1[[#This Row],[No of Unit]]*Table1[[#This Row],[Duration - Days]]</f>
        <v>22400</v>
      </c>
      <c r="S234" s="3">
        <f>Table1[[#This Row],[Total Price with SST 8%]]-Table1[[#This Row],[Total Price without SST]]</f>
        <v>1659.2592592592628</v>
      </c>
      <c r="U234" s="22">
        <f>Table1[[#This Row],[Total Price with SST 8%]]-(Table1[[#This Row],[Total Price with SST 8%]]*Table1[[#This Row],[Discount %]]/100)</f>
        <v>22400</v>
      </c>
      <c r="V234" s="5"/>
      <c r="W234" s="5"/>
      <c r="X234" s="5"/>
      <c r="Y234" s="1" t="s">
        <v>405</v>
      </c>
    </row>
    <row r="235" spans="1:25" ht="15" customHeight="1">
      <c r="A235" s="1">
        <v>234</v>
      </c>
      <c r="B235" s="31">
        <v>46218</v>
      </c>
      <c r="C235" s="1" t="s">
        <v>200</v>
      </c>
      <c r="E235" s="1" t="s">
        <v>657</v>
      </c>
      <c r="F235" s="1" t="s">
        <v>202</v>
      </c>
      <c r="G235" s="1" t="s">
        <v>658</v>
      </c>
      <c r="H235" s="1" t="s">
        <v>614</v>
      </c>
      <c r="I235" s="1" t="s">
        <v>659</v>
      </c>
      <c r="J235" s="1" t="s">
        <v>660</v>
      </c>
      <c r="M235" s="1">
        <v>10</v>
      </c>
      <c r="N235" s="1">
        <v>1</v>
      </c>
      <c r="O235" s="21">
        <v>8000</v>
      </c>
      <c r="P235" s="2">
        <v>8000</v>
      </c>
      <c r="Q235" s="1">
        <f>Table1[[#This Row],[Unit Price without SST]]*Table1[[#This Row],[No of Unit]]</f>
        <v>8000</v>
      </c>
      <c r="R235" s="5">
        <f>Table1[[#This Row],[Unit Price with SST 8%]]*Table1[[#This Row],[No of Unit]]</f>
        <v>8000</v>
      </c>
      <c r="S235" s="3">
        <f>Table1[[#This Row],[Total Price with SST 8%]]-Table1[[#This Row],[Total Price without SST]]</f>
        <v>0</v>
      </c>
      <c r="U235" s="22">
        <f>Table1[[#This Row],[Total Price with SST 8%]]-(Table1[[#This Row],[Total Price with SST 8%]]*Table1[[#This Row],[Discount %]]/100)</f>
        <v>8000</v>
      </c>
      <c r="V235" s="5" t="s">
        <v>33</v>
      </c>
      <c r="W235" s="5"/>
      <c r="X235" s="5"/>
      <c r="Y235" s="1" t="s">
        <v>415</v>
      </c>
    </row>
    <row r="236" spans="1:25" ht="15" customHeight="1">
      <c r="A236" s="1">
        <v>235</v>
      </c>
      <c r="B236" s="31">
        <v>46217</v>
      </c>
      <c r="C236" s="1" t="s">
        <v>25</v>
      </c>
      <c r="D236" s="1" t="s">
        <v>129</v>
      </c>
      <c r="E236" s="1" t="s">
        <v>661</v>
      </c>
      <c r="F236" s="1" t="s">
        <v>36</v>
      </c>
      <c r="G236" s="1" t="s">
        <v>130</v>
      </c>
      <c r="H236" s="1" t="s">
        <v>79</v>
      </c>
      <c r="I236" s="1" t="s">
        <v>131</v>
      </c>
      <c r="J236" s="1" t="s">
        <v>132</v>
      </c>
      <c r="K236" s="1">
        <v>2</v>
      </c>
      <c r="L236" s="1">
        <v>8</v>
      </c>
      <c r="M236" s="1">
        <v>2</v>
      </c>
      <c r="N236" s="1">
        <v>10</v>
      </c>
      <c r="O236" s="4">
        <f>Table1[[#This Row],[Unit Price with SST 8%]]/1.08</f>
        <v>861.11111111111109</v>
      </c>
      <c r="P236" s="4">
        <v>930</v>
      </c>
      <c r="Q236" s="4">
        <f>Table1[[#This Row],[Unit Price without SST]]*Table1[[#This Row],[No of Unit]]*Table1[[#This Row],[Duration - Days]]</f>
        <v>17222.222222222223</v>
      </c>
      <c r="R236" s="67">
        <f>Table1[[#This Row],[Unit Price with SST 8%]]*Table1[[#This Row],[No of Unit]]*Table1[[#This Row],[Duration - Days]]</f>
        <v>18600</v>
      </c>
      <c r="S236" s="68">
        <f>Table1[[#This Row],[Total Price with SST 8%]]-Table1[[#This Row],[Total Price without SST]]</f>
        <v>1377.7777777777774</v>
      </c>
      <c r="T236" s="4"/>
      <c r="U236" s="88">
        <f>Table1[[#This Row],[Total Price with SST 8%]]-(Table1[[#This Row],[Total Price with SST 8%]]*Table1[[#This Row],[Discount %]]/100)</f>
        <v>18600</v>
      </c>
      <c r="V236" s="5"/>
      <c r="W236" s="5"/>
      <c r="X236" s="5"/>
      <c r="Y236" s="1" t="s">
        <v>405</v>
      </c>
    </row>
    <row r="237" spans="1:25" ht="15" customHeight="1">
      <c r="A237" s="1">
        <v>236</v>
      </c>
      <c r="B237" s="31">
        <v>46217</v>
      </c>
      <c r="C237" s="1" t="s">
        <v>25</v>
      </c>
      <c r="D237" s="1" t="s">
        <v>129</v>
      </c>
      <c r="E237" s="1" t="s">
        <v>661</v>
      </c>
      <c r="F237" s="1" t="s">
        <v>36</v>
      </c>
      <c r="G237" s="1" t="s">
        <v>130</v>
      </c>
      <c r="H237" s="1" t="s">
        <v>79</v>
      </c>
      <c r="I237" s="1" t="s">
        <v>345</v>
      </c>
      <c r="J237" s="1" t="s">
        <v>132</v>
      </c>
      <c r="K237" s="1">
        <v>2</v>
      </c>
      <c r="L237" s="1">
        <v>8</v>
      </c>
      <c r="M237" s="1">
        <v>2</v>
      </c>
      <c r="N237" s="1">
        <v>10</v>
      </c>
      <c r="O237" s="4">
        <f>Table1[[#This Row],[Unit Price with SST 8%]]/1.08</f>
        <v>64.81481481481481</v>
      </c>
      <c r="P237" s="4">
        <v>70</v>
      </c>
      <c r="Q237" s="4">
        <f>Table1[[#This Row],[Unit Price without SST]]*Table1[[#This Row],[No of Unit]]*Table1[[#This Row],[Duration - Days]]</f>
        <v>1296.2962962962961</v>
      </c>
      <c r="R237" s="67">
        <f>Table1[[#This Row],[Unit Price with SST 8%]]*Table1[[#This Row],[No of Unit]]*Table1[[#This Row],[Duration - Days]]</f>
        <v>1400</v>
      </c>
      <c r="S237" s="68">
        <f>Table1[[#This Row],[Total Price with SST 8%]]-Table1[[#This Row],[Total Price without SST]]</f>
        <v>103.70370370370392</v>
      </c>
      <c r="T237" s="4"/>
      <c r="U237" s="88">
        <f>Table1[[#This Row],[Total Price with SST 8%]]-(Table1[[#This Row],[Total Price with SST 8%]]*Table1[[#This Row],[Discount %]]/100)</f>
        <v>1400</v>
      </c>
      <c r="V237" s="5"/>
      <c r="W237" s="5"/>
      <c r="X237" s="5"/>
      <c r="Y237" s="1" t="s">
        <v>405</v>
      </c>
    </row>
    <row r="238" spans="1:25" ht="15" customHeight="1">
      <c r="A238" s="1">
        <v>237</v>
      </c>
      <c r="B238" s="31">
        <v>46217</v>
      </c>
      <c r="C238" s="1" t="s">
        <v>25</v>
      </c>
      <c r="D238" s="1" t="s">
        <v>626</v>
      </c>
      <c r="E238" s="1" t="s">
        <v>657</v>
      </c>
      <c r="F238" s="1" t="s">
        <v>36</v>
      </c>
      <c r="G238" s="28" t="s">
        <v>399</v>
      </c>
      <c r="H238" s="1" t="s">
        <v>79</v>
      </c>
      <c r="I238" s="1" t="s">
        <v>226</v>
      </c>
      <c r="J238" s="1" t="s">
        <v>662</v>
      </c>
      <c r="M238" s="1">
        <v>2</v>
      </c>
      <c r="N238" s="1">
        <v>50</v>
      </c>
      <c r="O238" s="21">
        <v>550</v>
      </c>
      <c r="P238" s="4">
        <f>Table1[[#This Row],[Unit Price without SST]]*1.08</f>
        <v>594</v>
      </c>
      <c r="Q238" s="4">
        <f>Table1[[#This Row],[Unit Price without SST]]*Table1[[#This Row],[No of Unit]]*Table1[[#This Row],[Duration - Days]]</f>
        <v>55000</v>
      </c>
      <c r="R238" s="67">
        <f>Table1[[#This Row],[Unit Price with SST 8%]]*Table1[[#This Row],[No of Unit]]*Table1[[#This Row],[Duration - Days]]</f>
        <v>59400</v>
      </c>
      <c r="S238" s="68">
        <f>Table1[[#This Row],[Total Price with SST 8%]]-Table1[[#This Row],[Total Price without SST]]</f>
        <v>4400</v>
      </c>
      <c r="T238" s="4"/>
      <c r="U238" s="88">
        <f>Table1[[#This Row],[Total Price with SST 8%]]-(Table1[[#This Row],[Total Price with SST 8%]]*Table1[[#This Row],[Discount %]]/100)</f>
        <v>59400</v>
      </c>
      <c r="V238" s="5"/>
      <c r="W238" s="5"/>
      <c r="X238" s="5"/>
      <c r="Y238" s="1" t="s">
        <v>405</v>
      </c>
    </row>
    <row r="239" spans="1:25" ht="15" customHeight="1">
      <c r="A239" s="1">
        <v>238</v>
      </c>
      <c r="B239" s="31">
        <v>46217</v>
      </c>
      <c r="C239" s="1" t="s">
        <v>25</v>
      </c>
      <c r="E239" s="1" t="s">
        <v>663</v>
      </c>
      <c r="F239" s="1" t="s">
        <v>36</v>
      </c>
      <c r="G239" s="1" t="s">
        <v>664</v>
      </c>
      <c r="H239" s="1" t="s">
        <v>79</v>
      </c>
      <c r="I239" s="1" t="s">
        <v>665</v>
      </c>
      <c r="J239" s="91" t="s">
        <v>666</v>
      </c>
      <c r="M239" s="1">
        <v>5</v>
      </c>
      <c r="N239" s="1">
        <v>7</v>
      </c>
      <c r="O239" s="4">
        <f>Table1[[#This Row],[Unit Price with SST 8%]]/1.08</f>
        <v>1388.8888888888887</v>
      </c>
      <c r="P239" s="4">
        <v>1500</v>
      </c>
      <c r="Q239" s="4">
        <f>Table1[[#This Row],[Unit Price without SST]]*Table1[[#This Row],[No of Unit]]*Table1[[#This Row],[Duration - Days]]</f>
        <v>48611.111111111102</v>
      </c>
      <c r="R239" s="67">
        <f>Table1[[#This Row],[Unit Price with SST 8%]]*Table1[[#This Row],[No of Unit]]*Table1[[#This Row],[Duration - Days]]</f>
        <v>52500</v>
      </c>
      <c r="S239" s="3">
        <f>Table1[[#This Row],[Total Price with SST 8%]]-Table1[[#This Row],[Total Price without SST]]</f>
        <v>3888.8888888888978</v>
      </c>
      <c r="U239" s="22">
        <f>Table1[[#This Row],[Total Price with SST 8%]]-(Table1[[#This Row],[Total Price with SST 8%]]*Table1[[#This Row],[Discount %]]/100)</f>
        <v>52500</v>
      </c>
      <c r="V239" s="5" t="s">
        <v>33</v>
      </c>
      <c r="W239" s="5"/>
      <c r="X239" s="5"/>
      <c r="Y239" s="1" t="s">
        <v>405</v>
      </c>
    </row>
    <row r="240" spans="1:25" ht="15" customHeight="1">
      <c r="A240" s="1">
        <v>239</v>
      </c>
      <c r="B240" s="31">
        <v>46218</v>
      </c>
      <c r="C240" s="1" t="s">
        <v>25</v>
      </c>
      <c r="E240" s="1" t="s">
        <v>667</v>
      </c>
      <c r="F240" s="1" t="s">
        <v>27</v>
      </c>
      <c r="G240" s="1" t="s">
        <v>668</v>
      </c>
      <c r="H240" s="1" t="s">
        <v>79</v>
      </c>
      <c r="I240" s="1" t="s">
        <v>226</v>
      </c>
      <c r="J240" s="1" t="s">
        <v>669</v>
      </c>
      <c r="M240" s="1">
        <v>2</v>
      </c>
      <c r="N240" s="1">
        <v>1</v>
      </c>
      <c r="O240" s="4">
        <f>Table1[[#This Row],[Unit Price with SST 8%]]/1.08</f>
        <v>921.29629629629619</v>
      </c>
      <c r="P240" s="4">
        <v>995</v>
      </c>
      <c r="Q240" s="4">
        <f>Table1[[#This Row],[Unit Price without SST]]*Table1[[#This Row],[No of Unit]]*Table1[[#This Row],[Duration - Days]]</f>
        <v>1842.5925925925924</v>
      </c>
      <c r="R240" s="67">
        <f>Table1[[#This Row],[Unit Price with SST 8%]]*Table1[[#This Row],[No of Unit]]*Table1[[#This Row],[Duration - Days]]</f>
        <v>1990</v>
      </c>
      <c r="S240" s="3">
        <f>Table1[[#This Row],[Total Price with SST 8%]]-Table1[[#This Row],[Total Price without SST]]</f>
        <v>147.40740740740762</v>
      </c>
      <c r="U240" s="22">
        <f>Table1[[#This Row],[Total Price with SST 8%]]-(Table1[[#This Row],[Total Price with SST 8%]]*Table1[[#This Row],[Discount %]]/100)</f>
        <v>1990</v>
      </c>
      <c r="V240" s="5" t="s">
        <v>33</v>
      </c>
      <c r="W240" s="5"/>
      <c r="X240" s="5"/>
      <c r="Y240" s="1" t="s">
        <v>405</v>
      </c>
    </row>
    <row r="241" spans="1:25" ht="15" customHeight="1">
      <c r="A241" s="1">
        <v>240</v>
      </c>
      <c r="B241" s="31">
        <v>46218</v>
      </c>
      <c r="C241" s="1" t="s">
        <v>25</v>
      </c>
      <c r="E241" s="1" t="s">
        <v>670</v>
      </c>
      <c r="F241" s="1" t="s">
        <v>27</v>
      </c>
      <c r="G241" s="73" t="s">
        <v>249</v>
      </c>
      <c r="H241" s="1" t="s">
        <v>79</v>
      </c>
      <c r="I241" s="1" t="s">
        <v>226</v>
      </c>
      <c r="J241" s="1" t="s">
        <v>671</v>
      </c>
      <c r="M241" s="1">
        <v>2</v>
      </c>
      <c r="N241" s="1">
        <v>1</v>
      </c>
      <c r="O241" s="4">
        <f>Table1[[#This Row],[Unit Price with SST 8%]]/1.08</f>
        <v>92.592592592592581</v>
      </c>
      <c r="P241" s="4">
        <v>100</v>
      </c>
      <c r="Q241" s="4">
        <f>Table1[[#This Row],[Unit Price without SST]]*Table1[[#This Row],[No of Unit]]*Table1[[#This Row],[Duration - Days]]</f>
        <v>185.18518518518516</v>
      </c>
      <c r="R241" s="67">
        <f>Table1[[#This Row],[Unit Price with SST 8%]]*Table1[[#This Row],[No of Unit]]*Table1[[#This Row],[Duration - Days]]</f>
        <v>200</v>
      </c>
      <c r="S241" s="3">
        <f>Table1[[#This Row],[Total Price with SST 8%]]-Table1[[#This Row],[Total Price without SST]]</f>
        <v>14.814814814814838</v>
      </c>
      <c r="U241" s="22">
        <f>Table1[[#This Row],[Total Price with SST 8%]]-(Table1[[#This Row],[Total Price with SST 8%]]*Table1[[#This Row],[Discount %]]/100)</f>
        <v>200</v>
      </c>
      <c r="V241" s="5" t="s">
        <v>33</v>
      </c>
      <c r="W241" s="5"/>
      <c r="X241" s="5"/>
      <c r="Y241" s="1" t="s">
        <v>405</v>
      </c>
    </row>
    <row r="242" spans="1:25" ht="15" customHeight="1">
      <c r="A242" s="1">
        <v>241</v>
      </c>
      <c r="B242" s="31">
        <v>46219</v>
      </c>
      <c r="C242" s="1" t="s">
        <v>25</v>
      </c>
      <c r="E242" s="1" t="s">
        <v>672</v>
      </c>
      <c r="F242" s="1" t="s">
        <v>36</v>
      </c>
      <c r="G242" s="1" t="s">
        <v>664</v>
      </c>
      <c r="H242" s="1" t="s">
        <v>79</v>
      </c>
      <c r="I242" s="1" t="s">
        <v>665</v>
      </c>
      <c r="J242" s="91" t="s">
        <v>666</v>
      </c>
      <c r="M242" s="1">
        <v>5</v>
      </c>
      <c r="N242" s="1">
        <v>5</v>
      </c>
      <c r="O242" s="4">
        <f>Table1[[#This Row],[Unit Price with SST 8%]]/1.08</f>
        <v>1944.4444444444443</v>
      </c>
      <c r="P242" s="4">
        <v>2100</v>
      </c>
      <c r="Q242" s="4">
        <f>Table1[[#This Row],[Unit Price without SST]]*Table1[[#This Row],[No of Unit]]*Table1[[#This Row],[Duration - Days]]</f>
        <v>48611.111111111109</v>
      </c>
      <c r="R242" s="67">
        <f>Table1[[#This Row],[Unit Price with SST 8%]]*Table1[[#This Row],[No of Unit]]*Table1[[#This Row],[Duration - Days]]</f>
        <v>52500</v>
      </c>
      <c r="S242" s="3">
        <f>Table1[[#This Row],[Total Price with SST 8%]]-Table1[[#This Row],[Total Price without SST]]</f>
        <v>3888.8888888888905</v>
      </c>
      <c r="U242" s="22">
        <f>Table1[[#This Row],[Total Price with SST 8%]]-(Table1[[#This Row],[Total Price with SST 8%]]*Table1[[#This Row],[Discount %]]/100)</f>
        <v>52500</v>
      </c>
      <c r="V242" s="5"/>
      <c r="W242" s="5"/>
      <c r="X242" s="5"/>
      <c r="Y242" s="1" t="s">
        <v>405</v>
      </c>
    </row>
    <row r="243" spans="1:25" ht="15" customHeight="1">
      <c r="A243" s="1">
        <v>242</v>
      </c>
      <c r="B243" s="31">
        <v>46220</v>
      </c>
      <c r="C243" s="1" t="s">
        <v>25</v>
      </c>
      <c r="E243" s="1" t="s">
        <v>673</v>
      </c>
      <c r="F243" s="1" t="s">
        <v>36</v>
      </c>
      <c r="G243" s="90" t="s">
        <v>674</v>
      </c>
      <c r="H243" s="1" t="s">
        <v>79</v>
      </c>
      <c r="I243" s="1" t="s">
        <v>675</v>
      </c>
      <c r="J243" s="90" t="s">
        <v>676</v>
      </c>
      <c r="M243" s="1">
        <v>2</v>
      </c>
      <c r="N243" s="1">
        <v>1</v>
      </c>
      <c r="O243" s="21">
        <v>10500</v>
      </c>
      <c r="P243" s="4">
        <f>Table1[[#This Row],[Unit Price without SST]]*1.08</f>
        <v>11340</v>
      </c>
      <c r="Q243" s="4">
        <f>Table1[[#This Row],[Unit Price without SST]]*Table1[[#This Row],[No of Unit]]*Table1[[#This Row],[Duration - Days]]</f>
        <v>21000</v>
      </c>
      <c r="R243" s="67">
        <f>Table1[[#This Row],[Unit Price with SST 8%]]*Table1[[#This Row],[No of Unit]]*Table1[[#This Row],[Duration - Days]]</f>
        <v>22680</v>
      </c>
      <c r="S243" s="68">
        <f>Table1[[#This Row],[Total Price with SST 8%]]-Table1[[#This Row],[Total Price without SST]]</f>
        <v>1680</v>
      </c>
      <c r="T243" s="4"/>
      <c r="U243" s="88">
        <f>Table1[[#This Row],[Total Price with SST 8%]]-(Table1[[#This Row],[Total Price with SST 8%]]*Table1[[#This Row],[Discount %]]/100)</f>
        <v>22680</v>
      </c>
      <c r="V243" s="5"/>
      <c r="W243" s="5"/>
      <c r="X243" s="5"/>
      <c r="Y243" s="1" t="s">
        <v>405</v>
      </c>
    </row>
    <row r="244" spans="1:25" ht="15" customHeight="1">
      <c r="A244" s="1">
        <v>243</v>
      </c>
      <c r="B244" s="31">
        <v>46220</v>
      </c>
      <c r="C244" s="1" t="s">
        <v>25</v>
      </c>
      <c r="E244" s="1" t="s">
        <v>677</v>
      </c>
      <c r="F244" s="1" t="s">
        <v>27</v>
      </c>
      <c r="G244" s="90" t="s">
        <v>678</v>
      </c>
      <c r="H244" s="1" t="s">
        <v>79</v>
      </c>
      <c r="I244" s="1" t="s">
        <v>226</v>
      </c>
      <c r="J244" s="1" t="s">
        <v>679</v>
      </c>
      <c r="M244" s="1">
        <v>2</v>
      </c>
      <c r="N244" s="1">
        <v>1</v>
      </c>
      <c r="O244" s="4">
        <f>Table1[[#This Row],[Unit Price with SST 8%]]/1.08</f>
        <v>92.592592592592581</v>
      </c>
      <c r="P244" s="4">
        <v>100</v>
      </c>
      <c r="Q244" s="4">
        <f>Table1[[#This Row],[Unit Price without SST]]*Table1[[#This Row],[No of Unit]]*Table1[[#This Row],[Duration - Days]]</f>
        <v>185.18518518518516</v>
      </c>
      <c r="R244" s="67">
        <f>Table1[[#This Row],[Unit Price with SST 8%]]*Table1[[#This Row],[No of Unit]]*Table1[[#This Row],[Duration - Days]]</f>
        <v>200</v>
      </c>
      <c r="S244" s="3">
        <f>Table1[[#This Row],[Total Price with SST 8%]]-Table1[[#This Row],[Total Price without SST]]</f>
        <v>14.814814814814838</v>
      </c>
      <c r="U244" s="22">
        <f>Table1[[#This Row],[Total Price with SST 8%]]-(Table1[[#This Row],[Total Price with SST 8%]]*Table1[[#This Row],[Discount %]]/100)</f>
        <v>200</v>
      </c>
      <c r="V244" s="5"/>
      <c r="W244" s="5"/>
      <c r="X244" s="5"/>
      <c r="Y244" s="1" t="s">
        <v>405</v>
      </c>
    </row>
    <row r="245" spans="1:25" ht="15" customHeight="1">
      <c r="A245" s="1">
        <v>244</v>
      </c>
      <c r="B245" s="31">
        <v>46224</v>
      </c>
      <c r="C245" s="1" t="s">
        <v>25</v>
      </c>
      <c r="E245" s="1" t="s">
        <v>680</v>
      </c>
      <c r="F245" s="1" t="s">
        <v>36</v>
      </c>
      <c r="G245" s="1" t="s">
        <v>585</v>
      </c>
      <c r="H245" s="1" t="s">
        <v>194</v>
      </c>
      <c r="I245" s="1" t="s">
        <v>588</v>
      </c>
      <c r="J245" s="1" t="s">
        <v>681</v>
      </c>
      <c r="M245" s="1">
        <v>5</v>
      </c>
      <c r="N245" s="1">
        <v>5</v>
      </c>
      <c r="O245" s="21">
        <f>Table1[[#This Row],[Unit Price with SST 8%]]/1.08</f>
        <v>46000</v>
      </c>
      <c r="P245" s="2">
        <f>46000*1.08</f>
        <v>49680</v>
      </c>
      <c r="Q245" s="1">
        <f>Table1[[#This Row],[Unit Price without SST]]*Table1[[#This Row],[No of Unit]]</f>
        <v>230000</v>
      </c>
      <c r="R245" s="5">
        <f>Table1[[#This Row],[Unit Price with SST 8%]]*Table1[[#This Row],[No of Unit]]</f>
        <v>248400</v>
      </c>
      <c r="S245" s="3">
        <f>Table1[[#This Row],[Total Price with SST 8%]]-Table1[[#This Row],[Total Price without SST]]</f>
        <v>18400</v>
      </c>
      <c r="U245" s="22">
        <f>Table1[[#This Row],[Total Price with SST 8%]]-(Table1[[#This Row],[Total Price with SST 8%]]*Table1[[#This Row],[Discount %]]/100)</f>
        <v>248400</v>
      </c>
      <c r="V245" s="5" t="s">
        <v>33</v>
      </c>
      <c r="W245" s="5"/>
      <c r="X245" s="5"/>
      <c r="Y245" s="1" t="s">
        <v>194</v>
      </c>
    </row>
    <row r="246" spans="1:25" ht="15" customHeight="1">
      <c r="A246" s="1">
        <v>245</v>
      </c>
      <c r="B246" s="31">
        <v>46217</v>
      </c>
      <c r="C246" s="1" t="s">
        <v>25</v>
      </c>
      <c r="D246" s="1" t="s">
        <v>626</v>
      </c>
      <c r="E246" s="1" t="s">
        <v>682</v>
      </c>
      <c r="F246" s="1" t="s">
        <v>36</v>
      </c>
      <c r="G246" s="1" t="s">
        <v>279</v>
      </c>
      <c r="H246" s="1" t="s">
        <v>79</v>
      </c>
      <c r="I246" s="1" t="s">
        <v>627</v>
      </c>
      <c r="J246" s="1" t="s">
        <v>279</v>
      </c>
      <c r="M246" s="1">
        <v>2</v>
      </c>
      <c r="N246" s="1">
        <v>40</v>
      </c>
      <c r="O246" s="4">
        <f>Table1[[#This Row],[Unit Price with SST 8%]]/1.08</f>
        <v>310.18518518518516</v>
      </c>
      <c r="P246" s="2">
        <v>335</v>
      </c>
      <c r="Q246" s="4">
        <f>Table1[[#This Row],[Unit Price without SST]]*Table1[[#This Row],[No of Unit]]*Table1[[#This Row],[Duration - Days]]</f>
        <v>24814.814814814814</v>
      </c>
      <c r="R246" s="67">
        <f>Table1[[#This Row],[Unit Price with SST 8%]]*Table1[[#This Row],[No of Unit]]*Table1[[#This Row],[Duration - Days]]</f>
        <v>26800</v>
      </c>
      <c r="S246" s="3">
        <f>Table1[[#This Row],[Total Price with SST 8%]]-Table1[[#This Row],[Total Price without SST]]</f>
        <v>1985.1851851851861</v>
      </c>
      <c r="U246" s="22">
        <f>Table1[[#This Row],[Total Price with SST 8%]]-(Table1[[#This Row],[Total Price with SST 8%]]*Table1[[#This Row],[Discount %]]/100)</f>
        <v>26800</v>
      </c>
      <c r="V246" s="5"/>
      <c r="W246" s="5"/>
      <c r="X246" s="5"/>
      <c r="Y246" s="1" t="s">
        <v>405</v>
      </c>
    </row>
    <row r="247" spans="1:25" ht="15" customHeight="1">
      <c r="A247" s="1">
        <v>246</v>
      </c>
      <c r="B247" s="31">
        <v>46217</v>
      </c>
      <c r="C247" s="1" t="s">
        <v>25</v>
      </c>
      <c r="D247" s="1" t="s">
        <v>626</v>
      </c>
      <c r="E247" s="1" t="s">
        <v>682</v>
      </c>
      <c r="F247" s="1" t="s">
        <v>36</v>
      </c>
      <c r="G247" s="1" t="s">
        <v>279</v>
      </c>
      <c r="H247" s="1" t="s">
        <v>79</v>
      </c>
      <c r="I247" s="1" t="s">
        <v>345</v>
      </c>
      <c r="J247" s="1" t="s">
        <v>279</v>
      </c>
      <c r="M247" s="1">
        <v>2</v>
      </c>
      <c r="N247" s="1">
        <v>40</v>
      </c>
      <c r="O247" s="4">
        <f>Table1[[#This Row],[Unit Price with SST 8%]]/1.08</f>
        <v>259.25925925925924</v>
      </c>
      <c r="P247" s="2">
        <v>280</v>
      </c>
      <c r="Q247" s="4">
        <f>Table1[[#This Row],[Unit Price without SST]]*Table1[[#This Row],[No of Unit]]*Table1[[#This Row],[Duration - Days]]</f>
        <v>20740.740740740737</v>
      </c>
      <c r="R247" s="67">
        <f>Table1[[#This Row],[Unit Price with SST 8%]]*Table1[[#This Row],[No of Unit]]*Table1[[#This Row],[Duration - Days]]</f>
        <v>22400</v>
      </c>
      <c r="S247" s="3">
        <f>Table1[[#This Row],[Total Price with SST 8%]]-Table1[[#This Row],[Total Price without SST]]</f>
        <v>1659.2592592592628</v>
      </c>
      <c r="U247" s="22">
        <f>Table1[[#This Row],[Total Price with SST 8%]]-(Table1[[#This Row],[Total Price with SST 8%]]*Table1[[#This Row],[Discount %]]/100)</f>
        <v>22400</v>
      </c>
      <c r="V247" s="5"/>
      <c r="W247" s="5"/>
      <c r="X247" s="5"/>
      <c r="Y247" s="1" t="s">
        <v>405</v>
      </c>
    </row>
    <row r="248" spans="1:25" ht="15" customHeight="1">
      <c r="A248" s="1">
        <v>247</v>
      </c>
      <c r="B248" s="31">
        <v>46225</v>
      </c>
      <c r="C248" s="1" t="s">
        <v>25</v>
      </c>
      <c r="E248" s="1" t="s">
        <v>683</v>
      </c>
      <c r="F248" s="1" t="s">
        <v>36</v>
      </c>
      <c r="G248" s="1" t="s">
        <v>470</v>
      </c>
      <c r="H248" s="1" t="s">
        <v>79</v>
      </c>
      <c r="I248" s="86" t="s">
        <v>471</v>
      </c>
      <c r="J248" s="1" t="s">
        <v>472</v>
      </c>
      <c r="M248" s="1">
        <v>4</v>
      </c>
      <c r="N248" s="1">
        <v>20</v>
      </c>
      <c r="O248" s="4">
        <f>Table1[[#This Row],[Unit Price with SST 8%]]/1.08</f>
        <v>458.33333333333331</v>
      </c>
      <c r="P248" s="4">
        <v>495</v>
      </c>
      <c r="Q248" s="4">
        <f>Table1[[#This Row],[Unit Price without SST]]*Table1[[#This Row],[No of Unit]]*Table1[[#This Row],[Duration - Days]]</f>
        <v>36666.666666666664</v>
      </c>
      <c r="R248" s="67">
        <f>Table1[[#This Row],[Unit Price with SST 8%]]*Table1[[#This Row],[No of Unit]]*Table1[[#This Row],[Duration - Days]]</f>
        <v>39600</v>
      </c>
      <c r="S248" s="3">
        <f>Table1[[#This Row],[Total Price with SST 8%]]-Table1[[#This Row],[Total Price without SST]]</f>
        <v>2933.3333333333358</v>
      </c>
      <c r="U248" s="22">
        <f>Table1[[#This Row],[Total Price with SST 8%]]-(Table1[[#This Row],[Total Price with SST 8%]]*Table1[[#This Row],[Discount %]]/100)</f>
        <v>39600</v>
      </c>
      <c r="V248" s="5"/>
      <c r="W248" s="5"/>
      <c r="X248" s="5"/>
      <c r="Y248" s="1" t="s">
        <v>405</v>
      </c>
    </row>
    <row r="249" spans="1:25" ht="15" customHeight="1">
      <c r="A249" s="1">
        <v>248</v>
      </c>
      <c r="B249" s="31">
        <v>46225</v>
      </c>
      <c r="C249" s="1" t="s">
        <v>25</v>
      </c>
      <c r="E249" s="1" t="s">
        <v>683</v>
      </c>
      <c r="F249" s="1" t="s">
        <v>36</v>
      </c>
      <c r="G249" s="1" t="s">
        <v>470</v>
      </c>
      <c r="H249" s="1" t="s">
        <v>79</v>
      </c>
      <c r="I249" s="86" t="s">
        <v>684</v>
      </c>
      <c r="J249" s="1" t="s">
        <v>472</v>
      </c>
      <c r="M249" s="1">
        <v>1</v>
      </c>
      <c r="N249" s="1">
        <v>20</v>
      </c>
      <c r="O249" s="4">
        <f>Table1[[#This Row],[Unit Price with SST 8%]]/1.08</f>
        <v>37.037037037037038</v>
      </c>
      <c r="P249" s="4">
        <v>40</v>
      </c>
      <c r="Q249" s="4">
        <f>Table1[[#This Row],[Unit Price without SST]]*Table1[[#This Row],[No of Unit]]*Table1[[#This Row],[Duration - Days]]</f>
        <v>740.74074074074076</v>
      </c>
      <c r="R249" s="67">
        <f>Table1[[#This Row],[Unit Price with SST 8%]]*Table1[[#This Row],[No of Unit]]*Table1[[#This Row],[Duration - Days]]</f>
        <v>800</v>
      </c>
      <c r="S249" s="3">
        <f>Table1[[#This Row],[Total Price with SST 8%]]-Table1[[#This Row],[Total Price without SST]]</f>
        <v>59.259259259259238</v>
      </c>
      <c r="U249" s="22">
        <f>Table1[[#This Row],[Total Price with SST 8%]]-(Table1[[#This Row],[Total Price with SST 8%]]*Table1[[#This Row],[Discount %]]/100)</f>
        <v>800</v>
      </c>
      <c r="V249" s="5"/>
      <c r="W249" s="5"/>
      <c r="X249" s="5"/>
      <c r="Y249" s="1" t="s">
        <v>405</v>
      </c>
    </row>
    <row r="250" spans="1:25" ht="15" customHeight="1">
      <c r="A250" s="1">
        <v>249</v>
      </c>
      <c r="B250" s="31">
        <v>46225</v>
      </c>
      <c r="C250" s="1" t="s">
        <v>25</v>
      </c>
      <c r="E250" s="1" t="s">
        <v>683</v>
      </c>
      <c r="F250" s="1" t="s">
        <v>36</v>
      </c>
      <c r="G250" s="1" t="s">
        <v>470</v>
      </c>
      <c r="H250" s="1" t="s">
        <v>79</v>
      </c>
      <c r="I250" s="86" t="s">
        <v>685</v>
      </c>
      <c r="J250" s="1" t="s">
        <v>472</v>
      </c>
      <c r="M250" s="1">
        <v>4</v>
      </c>
      <c r="N250" s="1">
        <v>2</v>
      </c>
      <c r="O250" s="4">
        <f>Table1[[#This Row],[Unit Price with SST 8%]]/1.08</f>
        <v>1087.9629629629628</v>
      </c>
      <c r="P250" s="4">
        <v>1175</v>
      </c>
      <c r="Q250" s="4">
        <f>Table1[[#This Row],[Unit Price without SST]]*Table1[[#This Row],[No of Unit]]*Table1[[#This Row],[Duration - Days]]</f>
        <v>8703.7037037037026</v>
      </c>
      <c r="R250" s="67">
        <f>Table1[[#This Row],[Unit Price with SST 8%]]*Table1[[#This Row],[No of Unit]]*Table1[[#This Row],[Duration - Days]]</f>
        <v>9400</v>
      </c>
      <c r="S250" s="3">
        <f>Table1[[#This Row],[Total Price with SST 8%]]-Table1[[#This Row],[Total Price without SST]]</f>
        <v>696.29629629629744</v>
      </c>
      <c r="U250" s="22">
        <f>Table1[[#This Row],[Total Price with SST 8%]]-(Table1[[#This Row],[Total Price with SST 8%]]*Table1[[#This Row],[Discount %]]/100)</f>
        <v>9400</v>
      </c>
      <c r="V250" s="5"/>
      <c r="W250" s="5"/>
      <c r="X250" s="5"/>
      <c r="Y250" s="1" t="s">
        <v>405</v>
      </c>
    </row>
    <row r="251" spans="1:25" ht="15" customHeight="1">
      <c r="A251" s="1">
        <v>250</v>
      </c>
      <c r="B251" s="31">
        <v>46225</v>
      </c>
      <c r="C251" s="1" t="s">
        <v>25</v>
      </c>
      <c r="E251" s="1" t="s">
        <v>686</v>
      </c>
      <c r="F251" s="1" t="s">
        <v>36</v>
      </c>
      <c r="G251" s="1" t="s">
        <v>470</v>
      </c>
      <c r="H251" s="1" t="s">
        <v>79</v>
      </c>
      <c r="I251" s="86" t="s">
        <v>687</v>
      </c>
      <c r="J251" s="1" t="s">
        <v>472</v>
      </c>
      <c r="M251" s="1">
        <v>4</v>
      </c>
      <c r="N251" s="1">
        <v>20</v>
      </c>
      <c r="O251" s="4">
        <f>Table1[[#This Row],[Unit Price with SST 8%]]/1.08</f>
        <v>458.33333333333331</v>
      </c>
      <c r="P251" s="4">
        <v>495</v>
      </c>
      <c r="Q251" s="4">
        <f>Table1[[#This Row],[Unit Price without SST]]*Table1[[#This Row],[No of Unit]]*Table1[[#This Row],[Duration - Days]]</f>
        <v>36666.666666666664</v>
      </c>
      <c r="R251" s="67">
        <f>Table1[[#This Row],[Unit Price with SST 8%]]*Table1[[#This Row],[No of Unit]]*Table1[[#This Row],[Duration - Days]]</f>
        <v>39600</v>
      </c>
      <c r="S251" s="3">
        <f>Table1[[#This Row],[Total Price with SST 8%]]-Table1[[#This Row],[Total Price without SST]]</f>
        <v>2933.3333333333358</v>
      </c>
      <c r="U251" s="22">
        <f>Table1[[#This Row],[Total Price with SST 8%]]-(Table1[[#This Row],[Total Price with SST 8%]]*Table1[[#This Row],[Discount %]]/100)</f>
        <v>39600</v>
      </c>
      <c r="V251" s="5"/>
      <c r="W251" s="5"/>
      <c r="X251" s="5"/>
      <c r="Y251" s="1" t="s">
        <v>405</v>
      </c>
    </row>
    <row r="252" spans="1:25" ht="15" customHeight="1">
      <c r="A252" s="1">
        <v>251</v>
      </c>
      <c r="B252" s="31">
        <v>46225</v>
      </c>
      <c r="C252" s="1" t="s">
        <v>25</v>
      </c>
      <c r="E252" s="1" t="s">
        <v>688</v>
      </c>
      <c r="F252" s="1" t="s">
        <v>36</v>
      </c>
      <c r="G252" s="1" t="s">
        <v>470</v>
      </c>
      <c r="H252" s="1" t="s">
        <v>79</v>
      </c>
      <c r="I252" s="86" t="s">
        <v>687</v>
      </c>
      <c r="J252" s="1" t="s">
        <v>472</v>
      </c>
      <c r="M252" s="1">
        <v>4</v>
      </c>
      <c r="N252" s="1">
        <v>20</v>
      </c>
      <c r="O252" s="4">
        <f>Table1[[#This Row],[Unit Price with SST 8%]]/1.08</f>
        <v>467.59259259259255</v>
      </c>
      <c r="P252" s="4">
        <v>505</v>
      </c>
      <c r="Q252" s="4">
        <f>Table1[[#This Row],[Unit Price without SST]]*Table1[[#This Row],[No of Unit]]*Table1[[#This Row],[Duration - Days]]</f>
        <v>37407.407407407401</v>
      </c>
      <c r="R252" s="67">
        <f>Table1[[#This Row],[Unit Price with SST 8%]]*Table1[[#This Row],[No of Unit]]*Table1[[#This Row],[Duration - Days]]</f>
        <v>40400</v>
      </c>
      <c r="S252" s="3">
        <f>Table1[[#This Row],[Total Price with SST 8%]]-Table1[[#This Row],[Total Price without SST]]</f>
        <v>2992.5925925925985</v>
      </c>
      <c r="U252" s="22">
        <f>Table1[[#This Row],[Total Price with SST 8%]]-(Table1[[#This Row],[Total Price with SST 8%]]*Table1[[#This Row],[Discount %]]/100)</f>
        <v>40400</v>
      </c>
      <c r="V252" s="5"/>
      <c r="W252" s="5"/>
      <c r="X252" s="5"/>
      <c r="Y252" s="1" t="s">
        <v>405</v>
      </c>
    </row>
    <row r="253" spans="1:25" ht="15" customHeight="1">
      <c r="A253" s="1">
        <v>252</v>
      </c>
      <c r="B253" s="31">
        <v>46225</v>
      </c>
      <c r="C253" s="1" t="s">
        <v>25</v>
      </c>
      <c r="E253" s="1" t="s">
        <v>688</v>
      </c>
      <c r="F253" s="1" t="s">
        <v>36</v>
      </c>
      <c r="G253" s="1" t="s">
        <v>470</v>
      </c>
      <c r="H253" s="1" t="s">
        <v>79</v>
      </c>
      <c r="I253" s="86" t="s">
        <v>687</v>
      </c>
      <c r="J253" s="1" t="s">
        <v>472</v>
      </c>
      <c r="M253" s="1">
        <v>4</v>
      </c>
      <c r="N253" s="1">
        <v>2</v>
      </c>
      <c r="O253" s="4">
        <f>Table1[[#This Row],[Unit Price with SST 8%]]/1.08</f>
        <v>1087.9629629629628</v>
      </c>
      <c r="P253" s="4">
        <v>1175</v>
      </c>
      <c r="Q253" s="4">
        <f>Table1[[#This Row],[Unit Price without SST]]*Table1[[#This Row],[No of Unit]]*Table1[[#This Row],[Duration - Days]]</f>
        <v>8703.7037037037026</v>
      </c>
      <c r="R253" s="67">
        <f>Table1[[#This Row],[Unit Price with SST 8%]]*Table1[[#This Row],[No of Unit]]*Table1[[#This Row],[Duration - Days]]</f>
        <v>9400</v>
      </c>
      <c r="S253" s="3">
        <f>Table1[[#This Row],[Total Price with SST 8%]]-Table1[[#This Row],[Total Price without SST]]</f>
        <v>696.29629629629744</v>
      </c>
      <c r="U253" s="22">
        <f>Table1[[#This Row],[Total Price with SST 8%]]-(Table1[[#This Row],[Total Price with SST 8%]]*Table1[[#This Row],[Discount %]]/100)</f>
        <v>9400</v>
      </c>
      <c r="V253" s="5"/>
      <c r="W253" s="5"/>
      <c r="X253" s="5"/>
      <c r="Y253" s="1" t="s">
        <v>405</v>
      </c>
    </row>
    <row r="254" spans="1:25" ht="15" customHeight="1">
      <c r="A254" s="1">
        <v>253</v>
      </c>
      <c r="B254" s="31">
        <v>46231</v>
      </c>
      <c r="C254" s="1" t="s">
        <v>25</v>
      </c>
      <c r="E254" s="1" t="s">
        <v>689</v>
      </c>
      <c r="F254" s="1" t="s">
        <v>36</v>
      </c>
      <c r="G254" s="1" t="s">
        <v>387</v>
      </c>
      <c r="H254" s="1" t="s">
        <v>79</v>
      </c>
      <c r="I254" s="1" t="s">
        <v>226</v>
      </c>
      <c r="J254" s="1" t="s">
        <v>690</v>
      </c>
      <c r="M254" s="1">
        <v>2</v>
      </c>
      <c r="N254" s="1">
        <v>15</v>
      </c>
      <c r="O254" s="21">
        <v>1990</v>
      </c>
      <c r="P254" s="4">
        <f>Table1[[#This Row],[Unit Price without SST]]*1.08</f>
        <v>2149.2000000000003</v>
      </c>
      <c r="Q254" s="4">
        <f>Table1[[#This Row],[Unit Price without SST]]*Table1[[#This Row],[No of Unit]]</f>
        <v>29850</v>
      </c>
      <c r="R254" s="67">
        <f>Table1[[#This Row],[Unit Price with SST 8%]]*Table1[[#This Row],[No of Unit]]</f>
        <v>32238.000000000004</v>
      </c>
      <c r="S254" s="68">
        <f>Table1[[#This Row],[Total Price with SST 8%]]-Table1[[#This Row],[Total Price without SST]]</f>
        <v>2388.0000000000036</v>
      </c>
      <c r="T254" s="4"/>
      <c r="U254" s="88">
        <f>Table1[[#This Row],[Total Price with SST 8%]]-(Table1[[#This Row],[Total Price with SST 8%]]*Table1[[#This Row],[Discount %]]/100)</f>
        <v>32238.000000000004</v>
      </c>
      <c r="V254" s="5"/>
      <c r="W254" s="5"/>
      <c r="X254" s="5"/>
      <c r="Y254" s="1" t="s">
        <v>405</v>
      </c>
    </row>
    <row r="255" spans="1:25" ht="15" customHeight="1">
      <c r="A255" s="1">
        <v>254</v>
      </c>
      <c r="B255" s="31">
        <v>46231</v>
      </c>
      <c r="C255" s="1" t="s">
        <v>25</v>
      </c>
      <c r="E255" s="1" t="s">
        <v>691</v>
      </c>
      <c r="F255" s="1" t="s">
        <v>36</v>
      </c>
      <c r="G255" s="1" t="s">
        <v>692</v>
      </c>
      <c r="H255" s="1" t="s">
        <v>194</v>
      </c>
      <c r="I255" s="1" t="s">
        <v>693</v>
      </c>
      <c r="J255" s="1" t="s">
        <v>694</v>
      </c>
      <c r="M255" s="1">
        <v>2</v>
      </c>
      <c r="N255" s="1">
        <v>2</v>
      </c>
      <c r="O255" s="21">
        <f>Table1[[#This Row],[Unit Price with SST 8%]]/1.08</f>
        <v>9000</v>
      </c>
      <c r="P255" s="2">
        <f>9000*1.08</f>
        <v>9720</v>
      </c>
      <c r="Q255" s="1">
        <f>Table1[[#This Row],[Unit Price without SST]]*Table1[[#This Row],[No of Unit]]</f>
        <v>18000</v>
      </c>
      <c r="R255" s="5">
        <f>Table1[[#This Row],[Unit Price with SST 8%]]*Table1[[#This Row],[No of Unit]]</f>
        <v>19440</v>
      </c>
      <c r="S255" s="3">
        <f>Table1[[#This Row],[Total Price with SST 8%]]-Table1[[#This Row],[Total Price without SST]]</f>
        <v>1440</v>
      </c>
      <c r="U255" s="22">
        <f>Table1[[#This Row],[Total Price with SST 8%]]-(Table1[[#This Row],[Total Price with SST 8%]]*Table1[[#This Row],[Discount %]]/100)</f>
        <v>19440</v>
      </c>
      <c r="V255" s="5" t="s">
        <v>33</v>
      </c>
      <c r="W255" s="5"/>
      <c r="X255" s="5"/>
      <c r="Y255" s="1" t="s">
        <v>194</v>
      </c>
    </row>
    <row r="256" spans="1:25" ht="15" customHeight="1">
      <c r="A256" s="1">
        <v>255</v>
      </c>
      <c r="B256" s="31">
        <v>46231</v>
      </c>
      <c r="C256" s="1" t="s">
        <v>25</v>
      </c>
      <c r="E256" s="1" t="s">
        <v>695</v>
      </c>
      <c r="F256" s="1" t="s">
        <v>36</v>
      </c>
      <c r="G256" s="1" t="s">
        <v>692</v>
      </c>
      <c r="H256" s="1" t="s">
        <v>194</v>
      </c>
      <c r="I256" s="1" t="s">
        <v>696</v>
      </c>
      <c r="J256" s="1" t="s">
        <v>694</v>
      </c>
      <c r="M256" s="1">
        <v>3</v>
      </c>
      <c r="N256" s="1">
        <v>3</v>
      </c>
      <c r="O256" s="21">
        <f>Table1[[#This Row],[Unit Price with SST 8%]]/1.08</f>
        <v>9000</v>
      </c>
      <c r="P256" s="2">
        <f>9000*1.08</f>
        <v>9720</v>
      </c>
      <c r="Q256" s="1">
        <f>Table1[[#This Row],[Unit Price without SST]]*Table1[[#This Row],[No of Unit]]</f>
        <v>27000</v>
      </c>
      <c r="R256" s="5">
        <f>Table1[[#This Row],[Unit Price with SST 8%]]*Table1[[#This Row],[No of Unit]]</f>
        <v>29160</v>
      </c>
      <c r="S256" s="3">
        <f>Table1[[#This Row],[Total Price with SST 8%]]-Table1[[#This Row],[Total Price without SST]]</f>
        <v>2160</v>
      </c>
      <c r="U256" s="22">
        <f>Table1[[#This Row],[Total Price with SST 8%]]-(Table1[[#This Row],[Total Price with SST 8%]]*Table1[[#This Row],[Discount %]]/100)</f>
        <v>29160</v>
      </c>
      <c r="V256" s="5" t="s">
        <v>33</v>
      </c>
      <c r="W256" s="5"/>
      <c r="X256" s="5"/>
      <c r="Y256" s="1" t="s">
        <v>194</v>
      </c>
    </row>
    <row r="257" spans="1:25" ht="15" customHeight="1">
      <c r="A257" s="1">
        <v>256</v>
      </c>
      <c r="B257" s="31">
        <v>46231</v>
      </c>
      <c r="C257" s="1" t="s">
        <v>25</v>
      </c>
      <c r="E257" s="1" t="s">
        <v>697</v>
      </c>
      <c r="F257" s="1" t="s">
        <v>36</v>
      </c>
      <c r="G257" s="1" t="s">
        <v>692</v>
      </c>
      <c r="H257" s="1" t="s">
        <v>194</v>
      </c>
      <c r="I257" s="1" t="s">
        <v>698</v>
      </c>
      <c r="J257" s="1" t="s">
        <v>694</v>
      </c>
      <c r="M257" s="1">
        <v>3</v>
      </c>
      <c r="N257" s="1">
        <v>3</v>
      </c>
      <c r="O257" s="21">
        <f>Table1[[#This Row],[Unit Price with SST 8%]]/1.08</f>
        <v>9000</v>
      </c>
      <c r="P257" s="2">
        <f>9000*1.08</f>
        <v>9720</v>
      </c>
      <c r="Q257" s="1">
        <f>Table1[[#This Row],[Unit Price without SST]]*Table1[[#This Row],[No of Unit]]</f>
        <v>27000</v>
      </c>
      <c r="R257" s="5">
        <f>Table1[[#This Row],[Unit Price with SST 8%]]*Table1[[#This Row],[No of Unit]]</f>
        <v>29160</v>
      </c>
      <c r="S257" s="3">
        <f>Table1[[#This Row],[Total Price with SST 8%]]-Table1[[#This Row],[Total Price without SST]]</f>
        <v>2160</v>
      </c>
      <c r="U257" s="22">
        <f>Table1[[#This Row],[Total Price with SST 8%]]-(Table1[[#This Row],[Total Price with SST 8%]]*Table1[[#This Row],[Discount %]]/100)</f>
        <v>29160</v>
      </c>
      <c r="V257" s="5" t="s">
        <v>33</v>
      </c>
      <c r="W257" s="5"/>
      <c r="X257" s="5"/>
      <c r="Y257" s="1" t="s">
        <v>194</v>
      </c>
    </row>
    <row r="258" spans="1:25" ht="15" customHeight="1">
      <c r="A258" s="1">
        <v>257</v>
      </c>
      <c r="B258" s="31">
        <v>46234</v>
      </c>
      <c r="C258" s="1" t="s">
        <v>25</v>
      </c>
      <c r="D258" s="1" t="s">
        <v>626</v>
      </c>
      <c r="E258" s="1" t="s">
        <v>699</v>
      </c>
      <c r="F258" s="1" t="s">
        <v>36</v>
      </c>
      <c r="G258" s="1" t="s">
        <v>279</v>
      </c>
      <c r="H258" s="1" t="s">
        <v>79</v>
      </c>
      <c r="I258" s="1" t="s">
        <v>627</v>
      </c>
      <c r="J258" s="1" t="s">
        <v>279</v>
      </c>
      <c r="M258" s="1">
        <v>2</v>
      </c>
      <c r="N258" s="1">
        <v>50</v>
      </c>
      <c r="O258" s="4">
        <f>Table1[[#This Row],[Unit Price with SST 8%]]/1.08</f>
        <v>462.96296296296293</v>
      </c>
      <c r="P258" s="4">
        <v>500</v>
      </c>
      <c r="Q258" s="4">
        <f>Table1[[#This Row],[Unit Price without SST]]*Table1[[#This Row],[No of Unit]]*Table1[[#This Row],[Duration - Days]]</f>
        <v>46296.296296296292</v>
      </c>
      <c r="R258" s="67">
        <f>Table1[[#This Row],[Unit Price with SST 8%]]*Table1[[#This Row],[No of Unit]]*Table1[[#This Row],[Duration - Days]]</f>
        <v>50000</v>
      </c>
      <c r="S258" s="68">
        <f>Table1[[#This Row],[Total Price with SST 8%]]-Table1[[#This Row],[Total Price without SST]]</f>
        <v>3703.703703703708</v>
      </c>
      <c r="T258" s="4"/>
      <c r="U258" s="88">
        <f>Table1[[#This Row],[Total Price with SST 8%]]-(Table1[[#This Row],[Total Price with SST 8%]]*Table1[[#This Row],[Discount %]]/100)</f>
        <v>50000</v>
      </c>
      <c r="V258" s="5"/>
      <c r="W258" s="5"/>
      <c r="X258" s="5"/>
      <c r="Y258" s="1" t="s">
        <v>405</v>
      </c>
    </row>
    <row r="259" spans="1:25" ht="15" customHeight="1">
      <c r="A259" s="1">
        <v>258</v>
      </c>
      <c r="B259" s="31">
        <v>46234</v>
      </c>
      <c r="C259" s="1" t="s">
        <v>25</v>
      </c>
      <c r="E259" s="1" t="s">
        <v>700</v>
      </c>
      <c r="F259" s="1" t="s">
        <v>36</v>
      </c>
      <c r="G259" s="1" t="s">
        <v>701</v>
      </c>
      <c r="H259" s="1" t="s">
        <v>128</v>
      </c>
      <c r="I259" s="1" t="s">
        <v>588</v>
      </c>
      <c r="O259" s="21">
        <f>Table1[[#This Row],[Unit Price with SST 8%]]/1.08</f>
        <v>0</v>
      </c>
      <c r="P259" s="2"/>
      <c r="Q259" s="1">
        <f>Table1[[#This Row],[Unit Price without SST]]*Table1[[#This Row],[No of Unit]]</f>
        <v>0</v>
      </c>
      <c r="R259" s="5">
        <f>Table1[[#This Row],[Unit Price with SST 8%]]*Table1[[#This Row],[No of Unit]]</f>
        <v>0</v>
      </c>
      <c r="S259" s="3">
        <f>Table1[[#This Row],[Total Price with SST 8%]]-Table1[[#This Row],[Total Price without SST]]</f>
        <v>0</v>
      </c>
      <c r="U259" s="22">
        <f>Table1[[#This Row],[Total Price with SST 8%]]-(Table1[[#This Row],[Total Price with SST 8%]]*Table1[[#This Row],[Discount %]]/100)</f>
        <v>0</v>
      </c>
      <c r="V259" s="5"/>
      <c r="W259" s="5"/>
      <c r="X259" s="5"/>
    </row>
    <row r="260" spans="1:25" ht="15" customHeight="1">
      <c r="A260" s="1">
        <v>259</v>
      </c>
      <c r="B260" s="31">
        <v>46234</v>
      </c>
      <c r="C260" s="1" t="s">
        <v>25</v>
      </c>
      <c r="E260" s="1" t="s">
        <v>702</v>
      </c>
      <c r="F260" s="1" t="s">
        <v>36</v>
      </c>
      <c r="G260" s="1" t="s">
        <v>701</v>
      </c>
      <c r="H260" s="1" t="s">
        <v>128</v>
      </c>
      <c r="I260" s="1" t="s">
        <v>627</v>
      </c>
      <c r="O260" s="21">
        <f>Table1[[#This Row],[Unit Price with SST 8%]]/1.08</f>
        <v>0</v>
      </c>
      <c r="P260" s="2"/>
      <c r="Q260" s="1">
        <f>Table1[[#This Row],[Unit Price without SST]]*Table1[[#This Row],[No of Unit]]</f>
        <v>0</v>
      </c>
      <c r="R260" s="5">
        <f>Table1[[#This Row],[Unit Price with SST 8%]]*Table1[[#This Row],[No of Unit]]</f>
        <v>0</v>
      </c>
      <c r="S260" s="3">
        <f>Table1[[#This Row],[Total Price with SST 8%]]-Table1[[#This Row],[Total Price without SST]]</f>
        <v>0</v>
      </c>
      <c r="U260" s="22">
        <f>Table1[[#This Row],[Total Price with SST 8%]]-(Table1[[#This Row],[Total Price with SST 8%]]*Table1[[#This Row],[Discount %]]/100)</f>
        <v>0</v>
      </c>
      <c r="V260" s="5"/>
      <c r="W260" s="5"/>
      <c r="X260" s="5"/>
    </row>
    <row r="261" spans="1:25" ht="15" customHeight="1">
      <c r="A261" s="1">
        <v>260</v>
      </c>
      <c r="B261" s="31">
        <v>46234</v>
      </c>
      <c r="C261" s="1" t="s">
        <v>25</v>
      </c>
      <c r="E261" s="1" t="s">
        <v>703</v>
      </c>
      <c r="F261" s="1" t="s">
        <v>27</v>
      </c>
      <c r="G261" s="1" t="s">
        <v>701</v>
      </c>
      <c r="H261" s="1" t="s">
        <v>128</v>
      </c>
      <c r="I261" s="1" t="s">
        <v>704</v>
      </c>
      <c r="O261" s="21">
        <f>Table1[[#This Row],[Unit Price with SST 8%]]/1.08</f>
        <v>0</v>
      </c>
      <c r="P261" s="2"/>
      <c r="Q261" s="1">
        <f>Table1[[#This Row],[Unit Price without SST]]*Table1[[#This Row],[No of Unit]]</f>
        <v>0</v>
      </c>
      <c r="R261" s="5">
        <f>Table1[[#This Row],[Unit Price with SST 8%]]*Table1[[#This Row],[No of Unit]]</f>
        <v>0</v>
      </c>
      <c r="S261" s="3">
        <f>Table1[[#This Row],[Total Price with SST 8%]]-Table1[[#This Row],[Total Price without SST]]</f>
        <v>0</v>
      </c>
      <c r="U261" s="22">
        <f>Table1[[#This Row],[Total Price with SST 8%]]-(Table1[[#This Row],[Total Price with SST 8%]]*Table1[[#This Row],[Discount %]]/100)</f>
        <v>0</v>
      </c>
      <c r="V261" s="5"/>
      <c r="W261" s="5"/>
      <c r="X261" s="5"/>
    </row>
    <row r="262" spans="1:25" ht="15" customHeight="1">
      <c r="A262" s="1">
        <v>261</v>
      </c>
      <c r="B262" s="31">
        <v>46234</v>
      </c>
      <c r="C262" s="1" t="s">
        <v>25</v>
      </c>
      <c r="E262" s="1" t="s">
        <v>705</v>
      </c>
      <c r="F262" s="1" t="s">
        <v>27</v>
      </c>
      <c r="G262" s="90" t="s">
        <v>706</v>
      </c>
      <c r="H262" s="1" t="s">
        <v>79</v>
      </c>
      <c r="I262" s="1" t="s">
        <v>226</v>
      </c>
      <c r="J262" s="1" t="s">
        <v>679</v>
      </c>
      <c r="M262" s="1">
        <v>2</v>
      </c>
      <c r="N262" s="1">
        <v>1</v>
      </c>
      <c r="O262" s="4">
        <f>Table1[[#This Row],[Unit Price with SST 8%]]/1.08</f>
        <v>92.592592592592581</v>
      </c>
      <c r="P262" s="4">
        <v>100</v>
      </c>
      <c r="Q262" s="4">
        <f>Table1[[#This Row],[Unit Price without SST]]*Table1[[#This Row],[No of Unit]]*Table1[[#This Row],[Duration - Days]]</f>
        <v>185.18518518518516</v>
      </c>
      <c r="R262" s="67">
        <f>Table1[[#This Row],[Unit Price with SST 8%]]*Table1[[#This Row],[No of Unit]]*Table1[[#This Row],[Duration - Days]]</f>
        <v>200</v>
      </c>
      <c r="S262" s="3">
        <f>Table1[[#This Row],[Total Price with SST 8%]]-Table1[[#This Row],[Total Price without SST]]</f>
        <v>14.814814814814838</v>
      </c>
      <c r="U262" s="22">
        <f>Table1[[#This Row],[Total Price with SST 8%]]-(Table1[[#This Row],[Total Price with SST 8%]]*Table1[[#This Row],[Discount %]]/100)</f>
        <v>200</v>
      </c>
      <c r="V262" s="5"/>
      <c r="W262" s="5"/>
      <c r="X262" s="5"/>
    </row>
    <row r="263" spans="1:25" ht="15" customHeight="1">
      <c r="A263" s="1">
        <v>262</v>
      </c>
      <c r="B263" s="31">
        <v>46237</v>
      </c>
      <c r="C263" s="1" t="s">
        <v>25</v>
      </c>
      <c r="E263" s="92" t="s">
        <v>707</v>
      </c>
      <c r="F263" s="1" t="s">
        <v>36</v>
      </c>
      <c r="G263" s="1" t="s">
        <v>708</v>
      </c>
      <c r="H263" s="1" t="s">
        <v>79</v>
      </c>
      <c r="I263" s="1" t="s">
        <v>226</v>
      </c>
      <c r="J263" s="1" t="s">
        <v>709</v>
      </c>
      <c r="M263" s="1">
        <v>2</v>
      </c>
      <c r="N263" s="1">
        <v>25</v>
      </c>
      <c r="O263" s="21">
        <f>Table1[[#This Row],[Unit Price with SST 8%]]/1.08</f>
        <v>777.77777777777771</v>
      </c>
      <c r="P263" s="2">
        <v>840</v>
      </c>
      <c r="Q263" s="1">
        <f>Table1[[#This Row],[Unit Price without SST]]*Table1[[#This Row],[No of Unit]]</f>
        <v>19444.444444444442</v>
      </c>
      <c r="R263" s="5">
        <f>Table1[[#This Row],[Unit Price with SST 8%]]*Table1[[#This Row],[No of Unit]]</f>
        <v>21000</v>
      </c>
      <c r="S263" s="3">
        <f>Table1[[#This Row],[Total Price with SST 8%]]-Table1[[#This Row],[Total Price without SST]]</f>
        <v>1555.5555555555584</v>
      </c>
      <c r="U263" s="22">
        <f>Table1[[#This Row],[Total Price with SST 8%]]-(Table1[[#This Row],[Total Price with SST 8%]]*Table1[[#This Row],[Discount %]]/100)</f>
        <v>21000</v>
      </c>
      <c r="V263" s="5" t="s">
        <v>33</v>
      </c>
      <c r="W263" s="5"/>
      <c r="X263" s="5"/>
      <c r="Y263" s="1" t="s">
        <v>298</v>
      </c>
    </row>
    <row r="264" spans="1:25" ht="15" customHeight="1">
      <c r="A264" s="1">
        <v>263</v>
      </c>
      <c r="B264" s="31">
        <v>46239</v>
      </c>
      <c r="C264" s="1" t="s">
        <v>25</v>
      </c>
      <c r="E264" s="92" t="s">
        <v>710</v>
      </c>
      <c r="F264" s="1" t="s">
        <v>36</v>
      </c>
      <c r="G264" s="1" t="s">
        <v>116</v>
      </c>
      <c r="H264" s="1" t="s">
        <v>79</v>
      </c>
      <c r="I264" s="1" t="s">
        <v>711</v>
      </c>
      <c r="J264" s="1" t="s">
        <v>482</v>
      </c>
      <c r="M264" s="1">
        <v>2</v>
      </c>
      <c r="N264" s="1">
        <v>15</v>
      </c>
      <c r="O264" s="21">
        <f>Table1[[#This Row],[Unit Price with SST 8%]]/1.08</f>
        <v>963.50000000000011</v>
      </c>
      <c r="P264" s="2">
        <f>963.5*1.08</f>
        <v>1040.5800000000002</v>
      </c>
      <c r="Q264" s="1">
        <f>Table1[[#This Row],[Unit Price without SST]]*Table1[[#This Row],[No of Unit]]</f>
        <v>14452.500000000002</v>
      </c>
      <c r="R264" s="5">
        <f>Table1[[#This Row],[Unit Price with SST 8%]]*Table1[[#This Row],[No of Unit]]</f>
        <v>15608.700000000003</v>
      </c>
      <c r="S264" s="3">
        <f>Table1[[#This Row],[Total Price with SST 8%]]-Table1[[#This Row],[Total Price without SST]]</f>
        <v>1156.2000000000007</v>
      </c>
      <c r="U264" s="22">
        <f>Table1[[#This Row],[Total Price with SST 8%]]-(Table1[[#This Row],[Total Price with SST 8%]]*Table1[[#This Row],[Discount %]]/100)</f>
        <v>15608.700000000003</v>
      </c>
      <c r="V264" s="5" t="s">
        <v>33</v>
      </c>
      <c r="W264" s="5"/>
      <c r="X264" s="5"/>
      <c r="Y264" s="1" t="s">
        <v>194</v>
      </c>
    </row>
    <row r="265" spans="1:25" ht="15" customHeight="1">
      <c r="A265" s="1">
        <v>264</v>
      </c>
      <c r="B265" s="31">
        <v>46239</v>
      </c>
      <c r="C265" s="1" t="s">
        <v>25</v>
      </c>
      <c r="E265" s="92" t="s">
        <v>712</v>
      </c>
      <c r="F265" s="1" t="s">
        <v>36</v>
      </c>
      <c r="G265" s="1" t="s">
        <v>713</v>
      </c>
      <c r="H265" s="1" t="s">
        <v>79</v>
      </c>
      <c r="I265" s="1" t="s">
        <v>226</v>
      </c>
      <c r="J265" s="1" t="s">
        <v>714</v>
      </c>
      <c r="M265" s="1">
        <v>2</v>
      </c>
      <c r="N265" s="1">
        <v>25</v>
      </c>
      <c r="O265" s="21">
        <f>Table1[[#This Row],[Unit Price with SST 8%]]/1.08</f>
        <v>777.77777777777771</v>
      </c>
      <c r="P265" s="2">
        <v>840</v>
      </c>
      <c r="Q265" s="1">
        <f>Table1[[#This Row],[Unit Price without SST]]*Table1[[#This Row],[No of Unit]]</f>
        <v>19444.444444444442</v>
      </c>
      <c r="R265" s="5">
        <f>Table1[[#This Row],[Unit Price with SST 8%]]*Table1[[#This Row],[No of Unit]]</f>
        <v>21000</v>
      </c>
      <c r="S265" s="3">
        <f>Table1[[#This Row],[Total Price with SST 8%]]-Table1[[#This Row],[Total Price without SST]]</f>
        <v>1555.5555555555584</v>
      </c>
      <c r="U265" s="22">
        <f>Table1[[#This Row],[Total Price with SST 8%]]-(Table1[[#This Row],[Total Price with SST 8%]]*Table1[[#This Row],[Discount %]]/100)</f>
        <v>21000</v>
      </c>
      <c r="V265" s="5"/>
      <c r="W265" s="5"/>
      <c r="X265" s="5"/>
      <c r="Y265" s="1" t="s">
        <v>298</v>
      </c>
    </row>
    <row r="266" spans="1:25" ht="15" customHeight="1">
      <c r="A266" s="1">
        <v>265</v>
      </c>
      <c r="B266" s="31">
        <v>46241</v>
      </c>
      <c r="C266" s="1" t="s">
        <v>25</v>
      </c>
      <c r="E266" s="92" t="s">
        <v>715</v>
      </c>
      <c r="F266" s="1" t="s">
        <v>36</v>
      </c>
      <c r="G266" s="1" t="s">
        <v>630</v>
      </c>
      <c r="H266" s="1" t="s">
        <v>79</v>
      </c>
      <c r="I266" s="1" t="s">
        <v>226</v>
      </c>
      <c r="J266" s="1" t="s">
        <v>631</v>
      </c>
      <c r="M266" s="1">
        <v>2</v>
      </c>
      <c r="N266" s="1">
        <v>25</v>
      </c>
      <c r="O266" s="21">
        <f>Table1[[#This Row],[Unit Price with SST 8%]]/1.08</f>
        <v>840</v>
      </c>
      <c r="P266" s="2">
        <v>907.2</v>
      </c>
      <c r="Q266" s="1">
        <f>Table1[[#This Row],[Unit Price without SST]]*Table1[[#This Row],[No of Unit]]</f>
        <v>21000</v>
      </c>
      <c r="R266" s="5">
        <f>Table1[[#This Row],[Unit Price with SST 8%]]*Table1[[#This Row],[No of Unit]]</f>
        <v>22680</v>
      </c>
      <c r="S266" s="3">
        <f>Table1[[#This Row],[Total Price with SST 8%]]-Table1[[#This Row],[Total Price without SST]]</f>
        <v>1680</v>
      </c>
      <c r="U266" s="22">
        <f>Table1[[#This Row],[Total Price with SST 8%]]-(Table1[[#This Row],[Total Price with SST 8%]]*Table1[[#This Row],[Discount %]]/100)</f>
        <v>22680</v>
      </c>
      <c r="V266" s="5"/>
      <c r="W266" s="5"/>
      <c r="X266" s="5"/>
      <c r="Y266" s="1" t="s">
        <v>298</v>
      </c>
    </row>
    <row r="267" spans="1:25" ht="15" customHeight="1">
      <c r="A267" s="1">
        <v>266</v>
      </c>
      <c r="B267" s="31">
        <v>46241</v>
      </c>
      <c r="C267" s="1" t="s">
        <v>25</v>
      </c>
      <c r="E267" s="1" t="s">
        <v>716</v>
      </c>
      <c r="F267" s="1" t="s">
        <v>36</v>
      </c>
      <c r="G267" s="1" t="s">
        <v>620</v>
      </c>
      <c r="H267" s="1" t="s">
        <v>79</v>
      </c>
      <c r="I267" s="1" t="s">
        <v>588</v>
      </c>
      <c r="J267" s="1" t="s">
        <v>621</v>
      </c>
      <c r="M267" s="1">
        <v>5</v>
      </c>
      <c r="N267" s="1">
        <v>20</v>
      </c>
      <c r="O267" s="21">
        <f>Table1[[#This Row],[Unit Price with SST 8%]]/1.08</f>
        <v>2314.8148148148148</v>
      </c>
      <c r="P267" s="2">
        <v>2500</v>
      </c>
      <c r="Q267" s="1">
        <f>Table1[[#This Row],[Unit Price without SST]]*Table1[[#This Row],[No of Unit]]</f>
        <v>46296.296296296292</v>
      </c>
      <c r="R267" s="5">
        <f>Table1[[#This Row],[Unit Price with SST 8%]]*Table1[[#This Row],[No of Unit]]</f>
        <v>50000</v>
      </c>
      <c r="S267" s="3">
        <f>Table1[[#This Row],[Total Price with SST 8%]]-Table1[[#This Row],[Total Price without SST]]</f>
        <v>3703.703703703708</v>
      </c>
      <c r="U267" s="22">
        <f>Table1[[#This Row],[Total Price with SST 8%]]-(Table1[[#This Row],[Total Price with SST 8%]]*Table1[[#This Row],[Discount %]]/100)</f>
        <v>50000</v>
      </c>
      <c r="V267" s="5"/>
      <c r="W267" s="5"/>
      <c r="X267" s="5"/>
      <c r="Y267" s="1" t="s">
        <v>298</v>
      </c>
    </row>
    <row r="268" spans="1:25" ht="15" customHeight="1">
      <c r="A268" s="1">
        <v>267</v>
      </c>
      <c r="B268" s="31">
        <v>46241</v>
      </c>
      <c r="C268" s="1" t="s">
        <v>25</v>
      </c>
      <c r="E268" s="92" t="s">
        <v>717</v>
      </c>
      <c r="F268" s="1" t="s">
        <v>36</v>
      </c>
      <c r="G268" s="1" t="s">
        <v>718</v>
      </c>
      <c r="H268" s="1" t="s">
        <v>79</v>
      </c>
      <c r="I268" s="1" t="s">
        <v>719</v>
      </c>
      <c r="J268" s="1" t="s">
        <v>597</v>
      </c>
      <c r="M268" s="1">
        <v>5</v>
      </c>
      <c r="N268" s="1">
        <v>15</v>
      </c>
      <c r="O268" s="21">
        <f>Table1[[#This Row],[Unit Price with SST 8%]]/1.08</f>
        <v>3055.5555555555552</v>
      </c>
      <c r="P268" s="2">
        <v>3300</v>
      </c>
      <c r="Q268" s="1">
        <f>Table1[[#This Row],[Unit Price without SST]]*Table1[[#This Row],[No of Unit]]</f>
        <v>45833.333333333328</v>
      </c>
      <c r="R268" s="5">
        <f>Table1[[#This Row],[Unit Price with SST 8%]]*Table1[[#This Row],[No of Unit]]</f>
        <v>49500</v>
      </c>
      <c r="S268" s="3">
        <f>Table1[[#This Row],[Total Price with SST 8%]]-Table1[[#This Row],[Total Price without SST]]</f>
        <v>3666.6666666666715</v>
      </c>
      <c r="U268" s="22">
        <f>Table1[[#This Row],[Total Price with SST 8%]]-(Table1[[#This Row],[Total Price with SST 8%]]*Table1[[#This Row],[Discount %]]/100)</f>
        <v>49500</v>
      </c>
      <c r="V268" s="5"/>
      <c r="W268" s="5"/>
      <c r="X268" s="5"/>
      <c r="Y268" s="1" t="s">
        <v>298</v>
      </c>
    </row>
    <row r="269" spans="1:25" ht="15" customHeight="1">
      <c r="A269" s="1">
        <v>268</v>
      </c>
      <c r="B269" s="31">
        <v>46241</v>
      </c>
      <c r="C269" s="1" t="s">
        <v>25</v>
      </c>
      <c r="E269" s="1" t="s">
        <v>720</v>
      </c>
      <c r="F269" s="1" t="s">
        <v>36</v>
      </c>
      <c r="G269" s="1" t="s">
        <v>721</v>
      </c>
      <c r="H269" s="1" t="s">
        <v>79</v>
      </c>
      <c r="I269" s="1" t="s">
        <v>226</v>
      </c>
      <c r="J269" s="1" t="s">
        <v>722</v>
      </c>
      <c r="M269" s="1">
        <v>2</v>
      </c>
      <c r="N269" s="1">
        <v>25</v>
      </c>
      <c r="O269" s="21">
        <f>Table1[[#This Row],[Unit Price with SST 8%]]/1.08</f>
        <v>840</v>
      </c>
      <c r="P269" s="2">
        <v>907.2</v>
      </c>
      <c r="Q269" s="1">
        <f>Table1[[#This Row],[Unit Price without SST]]*Table1[[#This Row],[No of Unit]]</f>
        <v>21000</v>
      </c>
      <c r="R269" s="5">
        <f>Table1[[#This Row],[Unit Price with SST 8%]]*Table1[[#This Row],[No of Unit]]</f>
        <v>22680</v>
      </c>
      <c r="S269" s="3">
        <f>Table1[[#This Row],[Total Price with SST 8%]]-Table1[[#This Row],[Total Price without SST]]</f>
        <v>1680</v>
      </c>
      <c r="U269" s="22">
        <f>Table1[[#This Row],[Total Price with SST 8%]]-(Table1[[#This Row],[Total Price with SST 8%]]*Table1[[#This Row],[Discount %]]/100)</f>
        <v>22680</v>
      </c>
      <c r="V269" s="5"/>
      <c r="W269" s="5"/>
      <c r="X269" s="5"/>
      <c r="Y269" s="1" t="s">
        <v>298</v>
      </c>
    </row>
    <row r="270" spans="1:25" ht="15" customHeight="1">
      <c r="A270" s="1">
        <v>269</v>
      </c>
      <c r="B270" s="31">
        <v>46245</v>
      </c>
      <c r="C270" s="1" t="s">
        <v>25</v>
      </c>
      <c r="E270" s="92" t="s">
        <v>723</v>
      </c>
      <c r="F270" s="1" t="s">
        <v>36</v>
      </c>
      <c r="G270" s="1" t="s">
        <v>721</v>
      </c>
      <c r="H270" s="1" t="s">
        <v>79</v>
      </c>
      <c r="I270" s="1" t="s">
        <v>588</v>
      </c>
      <c r="J270" s="1" t="s">
        <v>722</v>
      </c>
      <c r="M270" s="1">
        <v>5</v>
      </c>
      <c r="N270" s="1">
        <v>10</v>
      </c>
      <c r="O270" s="21">
        <f>Table1[[#This Row],[Unit Price with SST 8%]]/1.08</f>
        <v>7499.9999999999991</v>
      </c>
      <c r="P270" s="2">
        <v>8100</v>
      </c>
      <c r="Q270" s="1">
        <f>Table1[[#This Row],[Unit Price without SST]]*Table1[[#This Row],[No of Unit]]</f>
        <v>74999.999999999985</v>
      </c>
      <c r="R270" s="5">
        <f>Table1[[#This Row],[Unit Price with SST 8%]]*Table1[[#This Row],[No of Unit]]</f>
        <v>81000</v>
      </c>
      <c r="S270" s="3">
        <f>Table1[[#This Row],[Total Price with SST 8%]]-Table1[[#This Row],[Total Price without SST]]</f>
        <v>6000.0000000000146</v>
      </c>
      <c r="U270" s="22">
        <f>Table1[[#This Row],[Total Price with SST 8%]]-(Table1[[#This Row],[Total Price with SST 8%]]*Table1[[#This Row],[Discount %]]/100)</f>
        <v>81000</v>
      </c>
      <c r="V270" s="5"/>
      <c r="W270" s="5"/>
      <c r="X270" s="5"/>
    </row>
    <row r="271" spans="1:25" ht="15" customHeight="1">
      <c r="A271" s="1">
        <v>270</v>
      </c>
      <c r="B271" s="31">
        <v>46246</v>
      </c>
      <c r="C271" s="1" t="s">
        <v>25</v>
      </c>
      <c r="E271" s="92" t="s">
        <v>724</v>
      </c>
      <c r="F271" s="1" t="s">
        <v>36</v>
      </c>
      <c r="G271" s="1" t="s">
        <v>229</v>
      </c>
      <c r="H271" s="1" t="s">
        <v>128</v>
      </c>
      <c r="I271" s="1" t="s">
        <v>725</v>
      </c>
      <c r="J271" s="1" t="s">
        <v>726</v>
      </c>
      <c r="M271" s="1">
        <v>3</v>
      </c>
      <c r="O271" s="21">
        <v>30000</v>
      </c>
      <c r="P271" s="2">
        <f>8%*Table1[[#This Row],[Total Price without SST]]</f>
        <v>2400</v>
      </c>
      <c r="Q271" s="1">
        <v>30000</v>
      </c>
      <c r="R271" s="5">
        <f>Table1[[#This Row],[Total Price without SST]]+Table1[[#This Row],[Unit Price with SST 8%]]</f>
        <v>32400</v>
      </c>
      <c r="S271" s="3">
        <f>Table1[[#This Row],[Total Price with SST 8%]]-Table1[[#This Row],[Total Price without SST]]</f>
        <v>2400</v>
      </c>
      <c r="U271" s="22">
        <f>Table1[[#This Row],[Total Price with SST 8%]]-(Table1[[#This Row],[Total Price with SST 8%]]*Table1[[#This Row],[Discount %]]/100)</f>
        <v>32400</v>
      </c>
      <c r="V271" s="5" t="s">
        <v>727</v>
      </c>
      <c r="W271" s="5"/>
      <c r="X271" s="5"/>
    </row>
    <row r="272" spans="1:25" ht="15" customHeight="1">
      <c r="A272" s="1">
        <v>271</v>
      </c>
      <c r="B272" s="31">
        <v>46247</v>
      </c>
      <c r="C272" s="1" t="s">
        <v>25</v>
      </c>
      <c r="E272" s="92" t="s">
        <v>728</v>
      </c>
      <c r="F272" s="1" t="s">
        <v>36</v>
      </c>
      <c r="G272" s="1" t="s">
        <v>446</v>
      </c>
      <c r="H272" s="1" t="s">
        <v>128</v>
      </c>
      <c r="I272" s="1" t="s">
        <v>226</v>
      </c>
      <c r="M272" s="1">
        <v>2</v>
      </c>
      <c r="O272" s="21">
        <f>Table1[[#This Row],[Unit Price with SST 8%]]/1.08</f>
        <v>1555.5555555555554</v>
      </c>
      <c r="P272" s="2">
        <f>8%*Table1[[#This Row],[Total Price without SST]]</f>
        <v>1680</v>
      </c>
      <c r="Q272" s="1">
        <v>21000</v>
      </c>
      <c r="R272" s="5">
        <f>Table1[[#This Row],[Total Price without SST]]+Table1[[#This Row],[Unit Price with SST 8%]]</f>
        <v>22680</v>
      </c>
      <c r="S272" s="3">
        <f>Table1[[#This Row],[Total Price with SST 8%]]-Table1[[#This Row],[Total Price without SST]]</f>
        <v>1680</v>
      </c>
      <c r="U272" s="22">
        <f>Table1[[#This Row],[Total Price with SST 8%]]-(Table1[[#This Row],[Total Price with SST 8%]]*Table1[[#This Row],[Discount %]]/100)</f>
        <v>22680</v>
      </c>
      <c r="V272" s="5" t="s">
        <v>727</v>
      </c>
      <c r="W272" s="5"/>
      <c r="X272" s="5"/>
    </row>
    <row r="273" spans="1:25" ht="15" customHeight="1">
      <c r="A273" s="1">
        <v>272</v>
      </c>
      <c r="B273" s="31">
        <v>46247</v>
      </c>
      <c r="C273" s="1" t="s">
        <v>25</v>
      </c>
      <c r="E273" s="92" t="s">
        <v>729</v>
      </c>
      <c r="F273" s="1" t="s">
        <v>36</v>
      </c>
      <c r="G273" s="1" t="s">
        <v>730</v>
      </c>
      <c r="H273" s="1" t="s">
        <v>128</v>
      </c>
      <c r="I273" s="1" t="s">
        <v>588</v>
      </c>
      <c r="J273" s="1" t="s">
        <v>731</v>
      </c>
      <c r="M273" s="1">
        <v>5</v>
      </c>
      <c r="O273" s="21">
        <f>Table1[[#This Row],[Unit Price with SST 8%]]/1.08</f>
        <v>3629.6296296296296</v>
      </c>
      <c r="P273" s="2">
        <f>8%*Table1[[#This Row],[Total Price without SST]]</f>
        <v>3920</v>
      </c>
      <c r="Q273" s="1">
        <v>49000</v>
      </c>
      <c r="R273" s="5">
        <f>Table1[[#This Row],[Total Price without SST]]+Table1[[#This Row],[Unit Price with SST 8%]]</f>
        <v>52920</v>
      </c>
      <c r="S273" s="3">
        <f>Table1[[#This Row],[Total Price with SST 8%]]-Table1[[#This Row],[Total Price without SST]]</f>
        <v>3920</v>
      </c>
      <c r="U273" s="22">
        <f>Table1[[#This Row],[Total Price with SST 8%]]-(Table1[[#This Row],[Total Price with SST 8%]]*Table1[[#This Row],[Discount %]]/100)</f>
        <v>52920</v>
      </c>
      <c r="V273" s="5" t="s">
        <v>727</v>
      </c>
      <c r="W273" s="5"/>
      <c r="X273" s="5"/>
    </row>
    <row r="274" spans="1:25" ht="15" customHeight="1">
      <c r="A274" s="1">
        <v>273</v>
      </c>
      <c r="B274" s="31">
        <v>46248</v>
      </c>
      <c r="C274" s="1" t="s">
        <v>25</v>
      </c>
      <c r="E274" s="92" t="s">
        <v>732</v>
      </c>
      <c r="F274" s="1" t="s">
        <v>36</v>
      </c>
      <c r="G274" s="1" t="s">
        <v>733</v>
      </c>
      <c r="H274" s="1" t="s">
        <v>194</v>
      </c>
      <c r="I274" s="1" t="s">
        <v>734</v>
      </c>
      <c r="J274" s="1" t="s">
        <v>735</v>
      </c>
      <c r="M274" s="1">
        <v>5</v>
      </c>
      <c r="N274" s="1">
        <v>238</v>
      </c>
      <c r="O274" s="4">
        <f>Table1[[#This Row],[Unit Price with SST 8%]]/1.08</f>
        <v>46.296296296296291</v>
      </c>
      <c r="P274" s="4">
        <v>50</v>
      </c>
      <c r="Q274" s="4">
        <f>Table1[[#This Row],[Unit Price without SST]]*Table1[[#This Row],[No of Unit]]</f>
        <v>11018.518518518516</v>
      </c>
      <c r="R274" s="67">
        <f>Table1[[#This Row],[Unit Price with SST 8%]]*Table1[[#This Row],[No of Unit]]</f>
        <v>11900</v>
      </c>
      <c r="S274" s="68">
        <f>Table1[[#This Row],[Total Price with SST 8%]]-Table1[[#This Row],[Total Price without SST]]</f>
        <v>881.48148148148357</v>
      </c>
      <c r="T274" s="4"/>
      <c r="U274" s="88">
        <f>Table1[[#This Row],[Total Price with SST 8%]]-(Table1[[#This Row],[Total Price with SST 8%]]*Table1[[#This Row],[Discount %]]/100)</f>
        <v>11900</v>
      </c>
      <c r="V274" s="5" t="s">
        <v>33</v>
      </c>
      <c r="W274" s="5"/>
      <c r="X274" s="5"/>
      <c r="Y274" s="1" t="s">
        <v>194</v>
      </c>
    </row>
    <row r="275" spans="1:25" ht="15" customHeight="1">
      <c r="A275" s="1">
        <v>274</v>
      </c>
      <c r="B275" s="31">
        <v>46248</v>
      </c>
      <c r="C275" s="1" t="s">
        <v>25</v>
      </c>
      <c r="E275" s="92" t="s">
        <v>736</v>
      </c>
      <c r="F275" s="1" t="s">
        <v>36</v>
      </c>
      <c r="G275" s="1" t="s">
        <v>733</v>
      </c>
      <c r="H275" s="1" t="s">
        <v>194</v>
      </c>
      <c r="I275" s="1" t="s">
        <v>737</v>
      </c>
      <c r="J275" s="1" t="s">
        <v>735</v>
      </c>
      <c r="M275" s="1">
        <v>3</v>
      </c>
      <c r="N275" s="1">
        <v>25</v>
      </c>
      <c r="O275" s="4">
        <f>Table1[[#This Row],[Unit Price with SST 8%]]/1.08</f>
        <v>1296.2962962962963</v>
      </c>
      <c r="P275" s="4">
        <v>1400</v>
      </c>
      <c r="Q275" s="4">
        <f>Table1[[#This Row],[Unit Price without SST]]*Table1[[#This Row],[No of Unit]]</f>
        <v>32407.407407407409</v>
      </c>
      <c r="R275" s="67">
        <f>Table1[[#This Row],[Unit Price with SST 8%]]*Table1[[#This Row],[No of Unit]]</f>
        <v>35000</v>
      </c>
      <c r="S275" s="68">
        <f>Table1[[#This Row],[Total Price with SST 8%]]-Table1[[#This Row],[Total Price without SST]]</f>
        <v>2592.5925925925912</v>
      </c>
      <c r="T275" s="4"/>
      <c r="U275" s="88">
        <f>Table1[[#This Row],[Total Price with SST 8%]]-(Table1[[#This Row],[Total Price with SST 8%]]*Table1[[#This Row],[Discount %]]/100)</f>
        <v>35000</v>
      </c>
      <c r="V275" s="5" t="s">
        <v>33</v>
      </c>
      <c r="W275" s="5"/>
      <c r="X275" s="5"/>
      <c r="Y275" s="1" t="s">
        <v>194</v>
      </c>
    </row>
    <row r="276" spans="1:25" ht="15" customHeight="1">
      <c r="A276" s="1">
        <v>275</v>
      </c>
      <c r="B276" s="31">
        <v>46248</v>
      </c>
      <c r="C276" s="1" t="s">
        <v>25</v>
      </c>
      <c r="E276" s="92" t="s">
        <v>738</v>
      </c>
      <c r="F276" s="1" t="s">
        <v>36</v>
      </c>
      <c r="G276" s="1" t="s">
        <v>648</v>
      </c>
      <c r="H276" s="1" t="s">
        <v>194</v>
      </c>
      <c r="I276" s="1" t="s">
        <v>739</v>
      </c>
      <c r="J276" s="1" t="s">
        <v>740</v>
      </c>
      <c r="M276" s="1">
        <v>3</v>
      </c>
      <c r="N276" s="1">
        <v>5</v>
      </c>
      <c r="O276" s="4">
        <f>Table1[[#This Row],[Unit Price with SST 8%]]/1.08</f>
        <v>3300</v>
      </c>
      <c r="P276" s="4">
        <f>3300*1.08</f>
        <v>3564.0000000000005</v>
      </c>
      <c r="Q276" s="4">
        <f>Table1[[#This Row],[Unit Price without SST]]*Table1[[#This Row],[No of Unit]]</f>
        <v>16500</v>
      </c>
      <c r="R276" s="67">
        <f>Table1[[#This Row],[Unit Price with SST 8%]]*Table1[[#This Row],[No of Unit]]</f>
        <v>17820.000000000004</v>
      </c>
      <c r="S276" s="68">
        <f>Table1[[#This Row],[Total Price with SST 8%]]-Table1[[#This Row],[Total Price without SST]]</f>
        <v>1320.0000000000036</v>
      </c>
      <c r="T276" s="4"/>
      <c r="U276" s="88">
        <f>Table1[[#This Row],[Total Price with SST 8%]]-(Table1[[#This Row],[Total Price with SST 8%]]*Table1[[#This Row],[Discount %]]/100)</f>
        <v>17820.000000000004</v>
      </c>
      <c r="V276" s="5"/>
      <c r="W276" s="5"/>
      <c r="X276" s="5"/>
      <c r="Y276" s="1" t="s">
        <v>194</v>
      </c>
    </row>
    <row r="277" spans="1:25" ht="15" customHeight="1">
      <c r="A277" s="1">
        <v>276</v>
      </c>
      <c r="B277" s="31">
        <v>46249</v>
      </c>
      <c r="C277" s="1" t="s">
        <v>25</v>
      </c>
      <c r="E277" s="92" t="s">
        <v>741</v>
      </c>
      <c r="F277" s="1" t="s">
        <v>36</v>
      </c>
      <c r="G277" s="1" t="s">
        <v>335</v>
      </c>
      <c r="H277" s="1" t="s">
        <v>194</v>
      </c>
      <c r="I277" s="1" t="s">
        <v>742</v>
      </c>
      <c r="J277" s="1" t="s">
        <v>743</v>
      </c>
      <c r="M277" s="1">
        <v>3</v>
      </c>
      <c r="N277" s="1">
        <v>3</v>
      </c>
      <c r="O277" s="4">
        <f>Table1[[#This Row],[Unit Price with SST 8%]]/1.08</f>
        <v>9722.2222222222208</v>
      </c>
      <c r="P277" s="4">
        <v>10500</v>
      </c>
      <c r="Q277" s="4">
        <f>Table1[[#This Row],[Unit Price without SST]]*Table1[[#This Row],[No of Unit]]</f>
        <v>29166.666666666664</v>
      </c>
      <c r="R277" s="67">
        <f>Table1[[#This Row],[Unit Price with SST 8%]]*Table1[[#This Row],[No of Unit]]</f>
        <v>31500</v>
      </c>
      <c r="S277" s="68">
        <f>Table1[[#This Row],[Total Price with SST 8%]]-Table1[[#This Row],[Total Price without SST]]</f>
        <v>2333.3333333333358</v>
      </c>
      <c r="T277" s="4"/>
      <c r="U277" s="88">
        <f>Table1[[#This Row],[Total Price with SST 8%]]-(Table1[[#This Row],[Total Price with SST 8%]]*Table1[[#This Row],[Discount %]]/100)</f>
        <v>31500</v>
      </c>
      <c r="V277" s="5" t="s">
        <v>33</v>
      </c>
      <c r="W277" s="5"/>
      <c r="X277" s="5"/>
      <c r="Y277" s="1" t="s">
        <v>194</v>
      </c>
    </row>
    <row r="278" spans="1:25" ht="15" customHeight="1">
      <c r="A278" s="1">
        <v>277</v>
      </c>
      <c r="B278" s="31" t="s">
        <v>744</v>
      </c>
      <c r="C278" s="1" t="s">
        <v>25</v>
      </c>
      <c r="E278" s="92" t="s">
        <v>745</v>
      </c>
      <c r="F278" s="1" t="s">
        <v>36</v>
      </c>
      <c r="G278" s="1" t="s">
        <v>746</v>
      </c>
      <c r="H278" s="1" t="s">
        <v>215</v>
      </c>
      <c r="I278" s="1" t="s">
        <v>747</v>
      </c>
      <c r="J278" s="1" t="s">
        <v>748</v>
      </c>
      <c r="M278" s="1">
        <v>2</v>
      </c>
      <c r="N278" s="1">
        <v>1</v>
      </c>
      <c r="O278" s="4">
        <f>Table1[[#This Row],[Unit Price with SST 8%]]/1.08</f>
        <v>19444.444444444442</v>
      </c>
      <c r="P278" s="4">
        <v>21000</v>
      </c>
      <c r="Q278" s="4">
        <f>Table1[[#This Row],[Unit Price without SST]]*Table1[[#This Row],[No of Unit]]</f>
        <v>19444.444444444442</v>
      </c>
      <c r="R278" s="67"/>
      <c r="S278" s="68">
        <f>Table1[[#This Row],[Total Price with SST 8%]]-Table1[[#This Row],[Total Price without SST]]</f>
        <v>-19444.444444444442</v>
      </c>
      <c r="T278" s="4"/>
      <c r="U278" s="88">
        <f>Table1[[#This Row],[Total Price with SST 8%]]-(Table1[[#This Row],[Total Price with SST 8%]]*Table1[[#This Row],[Discount %]]/100)</f>
        <v>0</v>
      </c>
      <c r="V278" s="5" t="s">
        <v>33</v>
      </c>
      <c r="W278" s="5"/>
      <c r="X278" s="5"/>
      <c r="Y278" s="1" t="s">
        <v>215</v>
      </c>
    </row>
    <row r="279" spans="1:25" ht="15" customHeight="1">
      <c r="A279" s="1">
        <v>278</v>
      </c>
      <c r="B279" s="31">
        <v>46251</v>
      </c>
      <c r="C279" s="1" t="s">
        <v>25</v>
      </c>
      <c r="E279" s="92" t="s">
        <v>749</v>
      </c>
      <c r="F279" s="1" t="s">
        <v>36</v>
      </c>
      <c r="G279" s="1" t="s">
        <v>750</v>
      </c>
      <c r="H279" s="1" t="s">
        <v>79</v>
      </c>
      <c r="I279" s="1" t="s">
        <v>693</v>
      </c>
      <c r="J279" s="1" t="s">
        <v>751</v>
      </c>
      <c r="M279" s="1">
        <v>10</v>
      </c>
      <c r="N279" s="1">
        <v>10</v>
      </c>
      <c r="O279" s="4">
        <f>Table1[[#This Row],[Unit Price with SST 8%]]/1.08</f>
        <v>10000</v>
      </c>
      <c r="P279" s="4">
        <v>10800</v>
      </c>
      <c r="Q279" s="4">
        <f>Table1[[#This Row],[Unit Price without SST]]*Table1[[#This Row],[No of Unit]]</f>
        <v>100000</v>
      </c>
      <c r="R279" s="67">
        <f>Table1[[#This Row],[Unit Price with SST 8%]]*Table1[[#This Row],[No of Unit]]</f>
        <v>108000</v>
      </c>
      <c r="S279" s="68">
        <f>Table1[[#This Row],[Total Price with SST 8%]]-Table1[[#This Row],[Total Price without SST]]</f>
        <v>8000</v>
      </c>
      <c r="T279" s="4"/>
      <c r="U279" s="88">
        <f>Table1[[#This Row],[Total Price with SST 8%]]-(Table1[[#This Row],[Total Price with SST 8%]]*Table1[[#This Row],[Discount %]]/100)</f>
        <v>108000</v>
      </c>
      <c r="V279" s="5"/>
      <c r="W279" s="5"/>
      <c r="X279" s="5"/>
    </row>
    <row r="280" spans="1:25" ht="15" customHeight="1">
      <c r="A280" s="1">
        <v>279</v>
      </c>
      <c r="B280" s="31">
        <v>46251</v>
      </c>
      <c r="C280" s="1" t="s">
        <v>25</v>
      </c>
      <c r="E280" s="92" t="s">
        <v>752</v>
      </c>
      <c r="F280" s="1" t="s">
        <v>36</v>
      </c>
      <c r="G280" s="1" t="s">
        <v>630</v>
      </c>
      <c r="H280" s="1" t="s">
        <v>79</v>
      </c>
      <c r="I280" s="1" t="s">
        <v>226</v>
      </c>
      <c r="J280" s="1" t="s">
        <v>631</v>
      </c>
      <c r="M280" s="1">
        <v>2</v>
      </c>
      <c r="N280" s="1">
        <v>10</v>
      </c>
      <c r="O280" s="21">
        <f>Table1[[#This Row],[Unit Price with SST 8%]]/1.08</f>
        <v>2100</v>
      </c>
      <c r="P280" s="2">
        <v>2268</v>
      </c>
      <c r="Q280" s="1">
        <f>Table1[[#This Row],[Unit Price without SST]]*Table1[[#This Row],[No of Unit]]</f>
        <v>21000</v>
      </c>
      <c r="R280" s="5">
        <f>Table1[[#This Row],[Unit Price with SST 8%]]*Table1[[#This Row],[No of Unit]]</f>
        <v>22680</v>
      </c>
      <c r="S280" s="3">
        <f>Table1[[#This Row],[Total Price with SST 8%]]-Table1[[#This Row],[Total Price without SST]]</f>
        <v>1680</v>
      </c>
      <c r="U280" s="22">
        <f>Table1[[#This Row],[Total Price with SST 8%]]-(Table1[[#This Row],[Total Price with SST 8%]]*Table1[[#This Row],[Discount %]]/100)</f>
        <v>22680</v>
      </c>
      <c r="V280" s="5"/>
      <c r="W280" s="5"/>
      <c r="X280" s="5"/>
      <c r="Y280" s="1" t="s">
        <v>298</v>
      </c>
    </row>
    <row r="281" spans="1:25" ht="15" customHeight="1">
      <c r="A281" s="1">
        <v>280</v>
      </c>
      <c r="B281" s="31">
        <v>46251</v>
      </c>
      <c r="C281" s="1" t="s">
        <v>25</v>
      </c>
      <c r="E281" s="92" t="s">
        <v>753</v>
      </c>
      <c r="F281" s="1" t="s">
        <v>36</v>
      </c>
      <c r="G281" s="1" t="s">
        <v>718</v>
      </c>
      <c r="H281" s="1" t="s">
        <v>79</v>
      </c>
      <c r="I281" s="1" t="s">
        <v>719</v>
      </c>
      <c r="J281" s="1" t="s">
        <v>597</v>
      </c>
      <c r="M281" s="1">
        <v>5</v>
      </c>
      <c r="N281" s="1">
        <v>9</v>
      </c>
      <c r="O281" s="21">
        <f>Table1[[#This Row],[Unit Price with SST 8%]]/1.08</f>
        <v>3055.5555555555552</v>
      </c>
      <c r="P281" s="2">
        <v>3300</v>
      </c>
      <c r="Q281" s="1">
        <f>Table1[[#This Row],[Unit Price without SST]]*Table1[[#This Row],[No of Unit]]</f>
        <v>27499.999999999996</v>
      </c>
      <c r="R281" s="5">
        <f>Table1[[#This Row],[Unit Price with SST 8%]]*Table1[[#This Row],[No of Unit]]</f>
        <v>29700</v>
      </c>
      <c r="S281" s="3">
        <f>Table1[[#This Row],[Total Price with SST 8%]]-Table1[[#This Row],[Total Price without SST]]</f>
        <v>2200.0000000000036</v>
      </c>
      <c r="U281" s="22">
        <f>Table1[[#This Row],[Total Price with SST 8%]]-(Table1[[#This Row],[Total Price with SST 8%]]*Table1[[#This Row],[Discount %]]/100)</f>
        <v>29700</v>
      </c>
      <c r="V281" s="5"/>
      <c r="W281" s="5"/>
      <c r="X281" s="5"/>
    </row>
    <row r="282" spans="1:25" ht="15" customHeight="1">
      <c r="A282" s="1">
        <v>281</v>
      </c>
      <c r="B282" s="31">
        <v>46252</v>
      </c>
      <c r="C282" s="1" t="s">
        <v>25</v>
      </c>
      <c r="E282" s="93" t="s">
        <v>754</v>
      </c>
      <c r="F282" s="1" t="s">
        <v>36</v>
      </c>
      <c r="G282" s="1" t="s">
        <v>755</v>
      </c>
      <c r="H282" s="1" t="s">
        <v>79</v>
      </c>
      <c r="I282" s="1" t="s">
        <v>226</v>
      </c>
      <c r="J282" s="1" t="s">
        <v>756</v>
      </c>
      <c r="M282" s="1">
        <v>2</v>
      </c>
      <c r="N282" s="1">
        <v>25</v>
      </c>
      <c r="O282" s="21">
        <f>Table1[[#This Row],[Unit Price with SST 8%]]/1.08</f>
        <v>0</v>
      </c>
      <c r="P282" s="2"/>
      <c r="Q282" s="1">
        <f>Table1[[#This Row],[Unit Price without SST]]*Table1[[#This Row],[No of Unit]]</f>
        <v>0</v>
      </c>
      <c r="R282" s="5">
        <v>21000</v>
      </c>
      <c r="S282" s="3">
        <f>Table1[[#This Row],[Total Price with SST 8%]]-Table1[[#This Row],[Total Price without SST]]</f>
        <v>21000</v>
      </c>
      <c r="U282" s="22">
        <f>Table1[[#This Row],[Total Price with SST 8%]]-(Table1[[#This Row],[Total Price with SST 8%]]*Table1[[#This Row],[Discount %]]/100)</f>
        <v>21000</v>
      </c>
      <c r="V282" s="5"/>
      <c r="W282" s="5"/>
      <c r="X282" s="5"/>
    </row>
    <row r="283" spans="1:25" ht="15" customHeight="1">
      <c r="A283" s="1">
        <v>282</v>
      </c>
      <c r="B283" s="31">
        <v>46252</v>
      </c>
      <c r="C283" s="1" t="s">
        <v>25</v>
      </c>
      <c r="E283" s="93" t="s">
        <v>757</v>
      </c>
      <c r="F283" s="1" t="s">
        <v>36</v>
      </c>
      <c r="G283" s="1" t="s">
        <v>758</v>
      </c>
      <c r="H283" s="1" t="s">
        <v>128</v>
      </c>
      <c r="I283" s="1" t="s">
        <v>759</v>
      </c>
      <c r="J283" s="1" t="s">
        <v>760</v>
      </c>
      <c r="M283" s="1">
        <v>1</v>
      </c>
      <c r="N283" s="1">
        <v>20</v>
      </c>
      <c r="O283" s="21"/>
      <c r="P283" s="2">
        <f>8%*Table1[[#This Row],[Total Price without SST]]</f>
        <v>840</v>
      </c>
      <c r="Q283" s="1">
        <v>10500</v>
      </c>
      <c r="R283" s="5">
        <f>Table1[[#This Row],[Total Price without SST]]+Table1[[#This Row],[SST 8% Amount]]</f>
        <v>11340</v>
      </c>
      <c r="S283" s="3">
        <f>Table1[[#This Row],[Total Price without SST]]*8%</f>
        <v>840</v>
      </c>
      <c r="U283" s="22">
        <f>Table1[[#This Row],[Total Price with SST 8%]]</f>
        <v>11340</v>
      </c>
      <c r="V283" s="5" t="s">
        <v>727</v>
      </c>
      <c r="W283" s="5"/>
      <c r="X283" s="5"/>
    </row>
    <row r="284" spans="1:25" ht="15" customHeight="1">
      <c r="A284" s="1">
        <v>283</v>
      </c>
      <c r="B284" s="31">
        <v>46253</v>
      </c>
      <c r="C284" s="1" t="s">
        <v>25</v>
      </c>
      <c r="E284" s="93" t="s">
        <v>761</v>
      </c>
      <c r="F284" s="1" t="s">
        <v>36</v>
      </c>
      <c r="G284" s="1" t="s">
        <v>762</v>
      </c>
      <c r="H284" s="1" t="s">
        <v>215</v>
      </c>
      <c r="I284" s="6" t="s">
        <v>763</v>
      </c>
      <c r="J284" s="1" t="s">
        <v>764</v>
      </c>
      <c r="M284" s="1">
        <v>3</v>
      </c>
      <c r="N284" s="1">
        <v>20</v>
      </c>
      <c r="O284" s="92">
        <v>28980</v>
      </c>
      <c r="P284" s="2">
        <v>31500</v>
      </c>
      <c r="Q284" s="94">
        <v>28980</v>
      </c>
      <c r="R284" s="5">
        <v>31500</v>
      </c>
      <c r="S284" s="3">
        <f>Table1[[#This Row],[Total Price with SST 8%]]-Table1[[#This Row],[Total Price without SST]]</f>
        <v>2520</v>
      </c>
      <c r="U284" s="22">
        <f>Table1[[#This Row],[Total Price with SST 8%]]-(Table1[[#This Row],[Total Price with SST 8%]]*Table1[[#This Row],[Discount %]]/100)</f>
        <v>31500</v>
      </c>
      <c r="V284" s="5"/>
      <c r="W284" s="5"/>
      <c r="X284" s="5"/>
      <c r="Y284" s="1" t="s">
        <v>215</v>
      </c>
    </row>
    <row r="285" spans="1:25" ht="15" customHeight="1">
      <c r="A285" s="1">
        <v>280</v>
      </c>
      <c r="B285" s="31">
        <v>46253</v>
      </c>
      <c r="C285" s="1" t="s">
        <v>25</v>
      </c>
      <c r="E285" s="92" t="s">
        <v>765</v>
      </c>
      <c r="F285" s="1" t="s">
        <v>36</v>
      </c>
      <c r="G285" s="1" t="s">
        <v>766</v>
      </c>
      <c r="H285" s="1" t="s">
        <v>79</v>
      </c>
      <c r="I285" s="1" t="s">
        <v>226</v>
      </c>
      <c r="J285" s="1" t="s">
        <v>767</v>
      </c>
      <c r="M285" s="1">
        <v>2</v>
      </c>
      <c r="N285" s="1">
        <v>2</v>
      </c>
      <c r="O285" s="21">
        <f>Table1[[#This Row],[Unit Price with SST 8%]]/1.08</f>
        <v>9722.2222222222208</v>
      </c>
      <c r="P285" s="2">
        <v>10500</v>
      </c>
      <c r="Q285" s="1">
        <f>Table1[[#This Row],[Unit Price without SST]]*Table1[[#This Row],[No of Unit]]</f>
        <v>19444.444444444442</v>
      </c>
      <c r="R285" s="5">
        <f>Table1[[#This Row],[Unit Price with SST 8%]]*Table1[[#This Row],[No of Unit]]</f>
        <v>21000</v>
      </c>
      <c r="S285" s="3">
        <f>Table1[[#This Row],[Total Price with SST 8%]]-Table1[[#This Row],[Total Price without SST]]</f>
        <v>1555.5555555555584</v>
      </c>
      <c r="U285" s="22">
        <f>Table1[[#This Row],[Total Price with SST 8%]]-(Table1[[#This Row],[Total Price with SST 8%]]*Table1[[#This Row],[Discount %]]/100)</f>
        <v>21000</v>
      </c>
      <c r="V285" s="5"/>
      <c r="W285" s="5"/>
      <c r="X285" s="5"/>
      <c r="Y285" s="1" t="s">
        <v>298</v>
      </c>
    </row>
    <row r="286" spans="1:25" ht="15" customHeight="1">
      <c r="A286" s="1">
        <v>285</v>
      </c>
      <c r="B286" s="31"/>
      <c r="O286" s="21">
        <f>Table1[[#This Row],[Unit Price with SST 8%]]/1.08</f>
        <v>0</v>
      </c>
      <c r="P286" s="2"/>
      <c r="Q286" s="1">
        <f>Table1[[#This Row],[Unit Price without SST]]*Table1[[#This Row],[No of Unit]]</f>
        <v>0</v>
      </c>
      <c r="R286" s="5">
        <f>Table1[[#This Row],[Unit Price with SST 8%]]*Table1[[#This Row],[No of Unit]]</f>
        <v>0</v>
      </c>
      <c r="S286" s="3">
        <f>Table1[[#This Row],[Total Price with SST 8%]]-Table1[[#This Row],[Total Price without SST]]</f>
        <v>0</v>
      </c>
      <c r="U286" s="22">
        <f>Table1[[#This Row],[Total Price with SST 8%]]-(Table1[[#This Row],[Total Price with SST 8%]]*Table1[[#This Row],[Discount %]]/100)</f>
        <v>0</v>
      </c>
      <c r="V286" s="5"/>
      <c r="W286" s="5"/>
      <c r="X286" s="5"/>
    </row>
    <row r="287" spans="1:25" ht="15" customHeight="1">
      <c r="A287" s="1">
        <v>286</v>
      </c>
      <c r="B287" s="31"/>
      <c r="O287" s="21">
        <f>Table1[[#This Row],[Unit Price with SST 8%]]/1.08</f>
        <v>0</v>
      </c>
      <c r="P287" s="2"/>
      <c r="Q287" s="1">
        <f>Table1[[#This Row],[Unit Price without SST]]*Table1[[#This Row],[No of Unit]]</f>
        <v>0</v>
      </c>
      <c r="R287" s="5">
        <f>Table1[[#This Row],[Unit Price with SST 8%]]*Table1[[#This Row],[No of Unit]]</f>
        <v>0</v>
      </c>
      <c r="S287" s="3">
        <f>Table1[[#This Row],[Total Price with SST 8%]]-Table1[[#This Row],[Total Price without SST]]</f>
        <v>0</v>
      </c>
      <c r="U287" s="22">
        <f>Table1[[#This Row],[Total Price with SST 8%]]-(Table1[[#This Row],[Total Price with SST 8%]]*Table1[[#This Row],[Discount %]]/100)</f>
        <v>0</v>
      </c>
      <c r="V287" s="5"/>
      <c r="W287" s="5"/>
      <c r="X287" s="5"/>
    </row>
    <row r="288" spans="1:25" ht="15" customHeight="1">
      <c r="A288" s="1">
        <v>287</v>
      </c>
      <c r="B288" s="31"/>
      <c r="O288" s="21">
        <f>Table1[[#This Row],[Unit Price with SST 8%]]/1.08</f>
        <v>0</v>
      </c>
      <c r="P288" s="2"/>
      <c r="Q288" s="1">
        <f>Table1[[#This Row],[Unit Price without SST]]*Table1[[#This Row],[No of Unit]]</f>
        <v>0</v>
      </c>
      <c r="R288" s="5">
        <f>Table1[[#This Row],[Unit Price with SST 8%]]*Table1[[#This Row],[No of Unit]]</f>
        <v>0</v>
      </c>
      <c r="S288" s="3">
        <f>Table1[[#This Row],[Total Price with SST 8%]]-Table1[[#This Row],[Total Price without SST]]</f>
        <v>0</v>
      </c>
      <c r="U288" s="22">
        <f>Table1[[#This Row],[Total Price with SST 8%]]-(Table1[[#This Row],[Total Price with SST 8%]]*Table1[[#This Row],[Discount %]]/100)</f>
        <v>0</v>
      </c>
      <c r="V288" s="5"/>
      <c r="W288" s="5"/>
      <c r="X288" s="5"/>
    </row>
    <row r="289" spans="1:24" ht="15" customHeight="1">
      <c r="A289" s="1">
        <v>288</v>
      </c>
      <c r="B289" s="31"/>
      <c r="O289" s="21">
        <f>Table1[[#This Row],[Unit Price with SST 8%]]/1.08</f>
        <v>0</v>
      </c>
      <c r="P289" s="2"/>
      <c r="Q289" s="1">
        <f>Table1[[#This Row],[Unit Price without SST]]*Table1[[#This Row],[No of Unit]]</f>
        <v>0</v>
      </c>
      <c r="R289" s="5">
        <f>Table1[[#This Row],[Unit Price with SST 8%]]*Table1[[#This Row],[No of Unit]]</f>
        <v>0</v>
      </c>
      <c r="S289" s="3">
        <f>Table1[[#This Row],[Total Price with SST 8%]]-Table1[[#This Row],[Total Price without SST]]</f>
        <v>0</v>
      </c>
      <c r="U289" s="22">
        <f>Table1[[#This Row],[Total Price with SST 8%]]-(Table1[[#This Row],[Total Price with SST 8%]]*Table1[[#This Row],[Discount %]]/100)</f>
        <v>0</v>
      </c>
      <c r="V289" s="5"/>
      <c r="W289" s="5"/>
      <c r="X289" s="5"/>
    </row>
    <row r="290" spans="1:24" ht="15" customHeight="1">
      <c r="A290" s="1">
        <v>289</v>
      </c>
      <c r="B290" s="31"/>
      <c r="O290" s="21">
        <f>Table1[[#This Row],[Unit Price with SST 8%]]/1.08</f>
        <v>0</v>
      </c>
      <c r="P290" s="2"/>
      <c r="Q290" s="1">
        <f>Table1[[#This Row],[Unit Price without SST]]*Table1[[#This Row],[No of Unit]]</f>
        <v>0</v>
      </c>
      <c r="R290" s="5">
        <f>Table1[[#This Row],[Unit Price with SST 8%]]*Table1[[#This Row],[No of Unit]]</f>
        <v>0</v>
      </c>
      <c r="S290" s="3">
        <f>Table1[[#This Row],[Total Price with SST 8%]]-Table1[[#This Row],[Total Price without SST]]</f>
        <v>0</v>
      </c>
      <c r="U290" s="22">
        <f>Table1[[#This Row],[Total Price with SST 8%]]-(Table1[[#This Row],[Total Price with SST 8%]]*Table1[[#This Row],[Discount %]]/100)</f>
        <v>0</v>
      </c>
      <c r="V290" s="5"/>
      <c r="W290" s="5"/>
      <c r="X290" s="5"/>
    </row>
    <row r="291" spans="1:24" ht="15" customHeight="1">
      <c r="A291" s="1">
        <v>290</v>
      </c>
      <c r="B291" s="31"/>
      <c r="O291" s="21">
        <f>Table1[[#This Row],[Unit Price with SST 8%]]/1.08</f>
        <v>0</v>
      </c>
      <c r="P291" s="2"/>
      <c r="Q291" s="1">
        <f>Table1[[#This Row],[Unit Price without SST]]*Table1[[#This Row],[No of Unit]]</f>
        <v>0</v>
      </c>
      <c r="R291" s="5">
        <f>Table1[[#This Row],[Unit Price with SST 8%]]*Table1[[#This Row],[No of Unit]]</f>
        <v>0</v>
      </c>
      <c r="S291" s="3">
        <f>Table1[[#This Row],[Total Price with SST 8%]]-Table1[[#This Row],[Total Price without SST]]</f>
        <v>0</v>
      </c>
      <c r="U291" s="22">
        <f>Table1[[#This Row],[Total Price with SST 8%]]-(Table1[[#This Row],[Total Price with SST 8%]]*Table1[[#This Row],[Discount %]]/100)</f>
        <v>0</v>
      </c>
      <c r="V291" s="5"/>
      <c r="W291" s="5"/>
      <c r="X291" s="5"/>
    </row>
    <row r="292" spans="1:24" ht="15" customHeight="1">
      <c r="A292" s="1">
        <v>291</v>
      </c>
      <c r="B292" s="31"/>
      <c r="O292" s="21">
        <f>Table1[[#This Row],[Unit Price with SST 8%]]/1.08</f>
        <v>0</v>
      </c>
      <c r="P292" s="2"/>
      <c r="Q292" s="1">
        <f>Table1[[#This Row],[Unit Price without SST]]*Table1[[#This Row],[No of Unit]]</f>
        <v>0</v>
      </c>
      <c r="R292" s="5">
        <f>Table1[[#This Row],[Unit Price with SST 8%]]*Table1[[#This Row],[No of Unit]]</f>
        <v>0</v>
      </c>
      <c r="S292" s="3">
        <f>Table1[[#This Row],[Total Price with SST 8%]]-Table1[[#This Row],[Total Price without SST]]</f>
        <v>0</v>
      </c>
      <c r="U292" s="22">
        <f>Table1[[#This Row],[Total Price with SST 8%]]-(Table1[[#This Row],[Total Price with SST 8%]]*Table1[[#This Row],[Discount %]]/100)</f>
        <v>0</v>
      </c>
      <c r="V292" s="5"/>
      <c r="W292" s="5"/>
      <c r="X292" s="5"/>
    </row>
    <row r="293" spans="1:24" ht="15" customHeight="1">
      <c r="A293" s="1">
        <v>292</v>
      </c>
      <c r="B293" s="31"/>
      <c r="O293" s="21">
        <f>Table1[[#This Row],[Unit Price with SST 8%]]/1.08</f>
        <v>0</v>
      </c>
      <c r="P293" s="2"/>
      <c r="Q293" s="1">
        <f>Table1[[#This Row],[Unit Price without SST]]*Table1[[#This Row],[No of Unit]]</f>
        <v>0</v>
      </c>
      <c r="R293" s="5">
        <f>Table1[[#This Row],[Unit Price with SST 8%]]*Table1[[#This Row],[No of Unit]]</f>
        <v>0</v>
      </c>
      <c r="S293" s="3">
        <f>Table1[[#This Row],[Total Price with SST 8%]]-Table1[[#This Row],[Total Price without SST]]</f>
        <v>0</v>
      </c>
      <c r="U293" s="22">
        <f>Table1[[#This Row],[Total Price with SST 8%]]-(Table1[[#This Row],[Total Price with SST 8%]]*Table1[[#This Row],[Discount %]]/100)</f>
        <v>0</v>
      </c>
      <c r="V293" s="5"/>
      <c r="W293" s="5"/>
      <c r="X293" s="5"/>
    </row>
    <row r="294" spans="1:24" ht="15" customHeight="1">
      <c r="A294" s="1">
        <v>293</v>
      </c>
      <c r="B294" s="31"/>
      <c r="O294" s="21">
        <f>Table1[[#This Row],[Unit Price with SST 8%]]/1.08</f>
        <v>0</v>
      </c>
      <c r="P294" s="2"/>
      <c r="Q294" s="1">
        <f>Table1[[#This Row],[Unit Price without SST]]*Table1[[#This Row],[No of Unit]]</f>
        <v>0</v>
      </c>
      <c r="R294" s="5">
        <f>Table1[[#This Row],[Unit Price with SST 8%]]*Table1[[#This Row],[No of Unit]]</f>
        <v>0</v>
      </c>
      <c r="S294" s="3">
        <f>Table1[[#This Row],[Total Price with SST 8%]]-Table1[[#This Row],[Total Price without SST]]</f>
        <v>0</v>
      </c>
      <c r="U294" s="22">
        <f>Table1[[#This Row],[Total Price with SST 8%]]-(Table1[[#This Row],[Total Price with SST 8%]]*Table1[[#This Row],[Discount %]]/100)</f>
        <v>0</v>
      </c>
      <c r="V294" s="5"/>
      <c r="W294" s="5"/>
      <c r="X294" s="5"/>
    </row>
    <row r="295" spans="1:24" ht="15" customHeight="1">
      <c r="A295" s="1">
        <v>294</v>
      </c>
      <c r="B295" s="31"/>
      <c r="O295" s="21">
        <f>Table1[[#This Row],[Unit Price with SST 8%]]/1.08</f>
        <v>0</v>
      </c>
      <c r="P295" s="2"/>
      <c r="Q295" s="1">
        <f>Table1[[#This Row],[Unit Price without SST]]*Table1[[#This Row],[No of Unit]]</f>
        <v>0</v>
      </c>
      <c r="R295" s="5">
        <f>Table1[[#This Row],[Unit Price with SST 8%]]*Table1[[#This Row],[No of Unit]]</f>
        <v>0</v>
      </c>
      <c r="S295" s="3">
        <f>Table1[[#This Row],[Total Price with SST 8%]]-Table1[[#This Row],[Total Price without SST]]</f>
        <v>0</v>
      </c>
      <c r="U295" s="22">
        <f>Table1[[#This Row],[Total Price with SST 8%]]-(Table1[[#This Row],[Total Price with SST 8%]]*Table1[[#This Row],[Discount %]]/100)</f>
        <v>0</v>
      </c>
      <c r="V295" s="5"/>
      <c r="W295" s="5"/>
      <c r="X295" s="5"/>
    </row>
    <row r="296" spans="1:24" ht="15" customHeight="1">
      <c r="A296" s="1">
        <v>295</v>
      </c>
      <c r="B296" s="31"/>
      <c r="O296" s="21">
        <f>Table1[[#This Row],[Unit Price with SST 8%]]/1.08</f>
        <v>0</v>
      </c>
      <c r="P296" s="2"/>
      <c r="Q296" s="1">
        <f>Table1[[#This Row],[Unit Price without SST]]*Table1[[#This Row],[No of Unit]]</f>
        <v>0</v>
      </c>
      <c r="R296" s="5">
        <f>Table1[[#This Row],[Unit Price with SST 8%]]*Table1[[#This Row],[No of Unit]]</f>
        <v>0</v>
      </c>
      <c r="S296" s="3">
        <f>Table1[[#This Row],[Total Price with SST 8%]]-Table1[[#This Row],[Total Price without SST]]</f>
        <v>0</v>
      </c>
      <c r="U296" s="22">
        <f>Table1[[#This Row],[Total Price with SST 8%]]-(Table1[[#This Row],[Total Price with SST 8%]]*Table1[[#This Row],[Discount %]]/100)</f>
        <v>0</v>
      </c>
      <c r="V296" s="5"/>
      <c r="W296" s="5"/>
      <c r="X296" s="5"/>
    </row>
    <row r="297" spans="1:24" ht="15" customHeight="1">
      <c r="A297" s="1">
        <v>296</v>
      </c>
      <c r="B297" s="31"/>
      <c r="O297" s="21">
        <f>Table1[[#This Row],[Unit Price with SST 8%]]/1.08</f>
        <v>0</v>
      </c>
      <c r="P297" s="2"/>
      <c r="Q297" s="1">
        <f>Table1[[#This Row],[Unit Price without SST]]*Table1[[#This Row],[No of Unit]]</f>
        <v>0</v>
      </c>
      <c r="R297" s="5">
        <f>Table1[[#This Row],[Unit Price with SST 8%]]*Table1[[#This Row],[No of Unit]]</f>
        <v>0</v>
      </c>
      <c r="S297" s="3">
        <f>Table1[[#This Row],[Total Price with SST 8%]]-Table1[[#This Row],[Total Price without SST]]</f>
        <v>0</v>
      </c>
      <c r="U297" s="22">
        <f>Table1[[#This Row],[Total Price with SST 8%]]-(Table1[[#This Row],[Total Price with SST 8%]]*Table1[[#This Row],[Discount %]]/100)</f>
        <v>0</v>
      </c>
      <c r="V297" s="5"/>
      <c r="W297" s="5"/>
      <c r="X297" s="5"/>
    </row>
    <row r="298" spans="1:24" ht="15" customHeight="1">
      <c r="A298" s="1">
        <v>297</v>
      </c>
      <c r="B298" s="31"/>
      <c r="O298" s="21">
        <f>Table1[[#This Row],[Unit Price with SST 8%]]/1.08</f>
        <v>0</v>
      </c>
      <c r="P298" s="2"/>
      <c r="Q298" s="1">
        <f>Table1[[#This Row],[Unit Price without SST]]*Table1[[#This Row],[No of Unit]]</f>
        <v>0</v>
      </c>
      <c r="R298" s="5">
        <f>Table1[[#This Row],[Unit Price with SST 8%]]*Table1[[#This Row],[No of Unit]]</f>
        <v>0</v>
      </c>
      <c r="S298" s="3">
        <f>Table1[[#This Row],[Total Price with SST 8%]]-Table1[[#This Row],[Total Price without SST]]</f>
        <v>0</v>
      </c>
      <c r="U298" s="22">
        <f>Table1[[#This Row],[Total Price with SST 8%]]-(Table1[[#This Row],[Total Price with SST 8%]]*Table1[[#This Row],[Discount %]]/100)</f>
        <v>0</v>
      </c>
      <c r="V298" s="5"/>
      <c r="W298" s="5"/>
      <c r="X298" s="5"/>
    </row>
    <row r="299" spans="1:24" ht="15" customHeight="1">
      <c r="O299" s="21"/>
      <c r="P299" s="2"/>
      <c r="R299" s="5"/>
      <c r="S299" s="3"/>
      <c r="U299" s="22">
        <f>SUM(Table1[Final Price])</f>
        <v>11191349.4064968</v>
      </c>
      <c r="V299" s="5"/>
      <c r="W299" s="5"/>
      <c r="X299" s="5"/>
    </row>
    <row r="301" spans="1:24" ht="15" customHeight="1">
      <c r="G301" s="15"/>
    </row>
    <row r="302" spans="1:24" ht="15" customHeight="1">
      <c r="G302" s="15"/>
      <c r="U302" s="2"/>
    </row>
  </sheetData>
  <conditionalFormatting sqref="E97">
    <cfRule type="duplicateValues" dxfId="10" priority="12"/>
  </conditionalFormatting>
  <conditionalFormatting sqref="E101">
    <cfRule type="duplicateValues" dxfId="9" priority="11"/>
  </conditionalFormatting>
  <conditionalFormatting sqref="E102">
    <cfRule type="duplicateValues" dxfId="8" priority="10"/>
  </conditionalFormatting>
  <conditionalFormatting sqref="E103">
    <cfRule type="duplicateValues" dxfId="7" priority="9"/>
  </conditionalFormatting>
  <conditionalFormatting sqref="E104:E105">
    <cfRule type="duplicateValues" dxfId="6" priority="8"/>
  </conditionalFormatting>
  <conditionalFormatting sqref="E107">
    <cfRule type="duplicateValues" dxfId="5" priority="14"/>
  </conditionalFormatting>
  <conditionalFormatting sqref="E124">
    <cfRule type="duplicateValues" dxfId="4" priority="6"/>
  </conditionalFormatting>
  <conditionalFormatting sqref="E132">
    <cfRule type="duplicateValues" dxfId="3" priority="5"/>
  </conditionalFormatting>
  <conditionalFormatting sqref="E134:E135">
    <cfRule type="duplicateValues" dxfId="2" priority="4"/>
  </conditionalFormatting>
  <conditionalFormatting sqref="E231:E232">
    <cfRule type="duplicateValues" dxfId="1" priority="2"/>
  </conditionalFormatting>
  <conditionalFormatting sqref="E46:E54">
    <cfRule type="duplicateValues" dxfId="0" priority="15"/>
  </conditionalFormatting>
  <dataValidations count="19">
    <dataValidation type="list" allowBlank="1" showInputMessage="1" showErrorMessage="1" sqref="Y2:Y54" xr:uid="{5E7040EF-6D10-4E45-A71D-6A5B32A29BA6}">
      <formula1>"Muhammad Fayyadh Muhammad Fahmi, Saidatul Farrah Muhammad Johar, Nur Izzati Zailani, Ow Zi Qi"</formula1>
    </dataValidation>
    <dataValidation type="list" allowBlank="1" showInputMessage="1" showErrorMessage="1" sqref="C73:C168 C175:C199 C210 C221 C231:C232 C235:C237 C248:C257 C2:C66" xr:uid="{99E9C63D-BE7E-4950-A65C-62ED0CD36C00}">
      <formula1>"Training, REE, MyDID, Others"</formula1>
    </dataValidation>
    <dataValidation type="list" allowBlank="1" showInputMessage="1" showErrorMessage="1" sqref="D68:D168 D175:D196 D199 D231:D232 D248:D253 D2:D66" xr:uid="{C7700757-5796-4F6E-BEDA-32EEDA0DB14B}">
      <formula1>"Training, Product, Service, Consultancy"</formula1>
    </dataValidation>
    <dataValidation type="list" allowBlank="1" showInputMessage="1" showErrorMessage="1" sqref="F57:F61 F63:F64 F73:F81 F83:F92 F94:F130 F132:F139 F141:F150 F152:F168 F176:F179 F181:F194 F196 F199 F221 F231:F232 F236:F237 F248:F257 F2:F55" xr:uid="{CA030B2B-2644-430A-B0AD-9ED42FC7D89F}">
      <formula1>"In-House, Public Training"</formula1>
    </dataValidation>
    <dataValidation type="list" allowBlank="1" showInputMessage="1" showErrorMessage="1" sqref="V205 V73:V196 V248:V253 V2:V61" xr:uid="{874DE0E3-EF27-4924-AD9F-E4D1852D0B99}">
      <formula1>"Sent, Won, Lost, In Progress, On Hold"</formula1>
    </dataValidation>
    <dataValidation type="list" allowBlank="1" showInputMessage="1" showErrorMessage="1" sqref="Y55:Y61 Y65:Y73 Y76:Y82 Y91 Y93:Y96 Y109" xr:uid="{81FB2315-7471-4ED4-8801-634CC1C7EBB1}">
      <formula1>"Please Choose, Muhammad Fayyadh Muhammad Fahmi, Saidatul Farrah Muhammad Johar, Nur Izzati Zailani, Ow Zi Qi, Adilah, Omar"</formula1>
    </dataValidation>
    <dataValidation type="list" allowBlank="1" showInputMessage="1" showErrorMessage="1" sqref="Y74:Y75" xr:uid="{00332CB7-C976-4AED-BE07-9C43D39A128C}">
      <formula1>"Please Choose, Muhammad Fayyadh Muhammad Fahmi, Saidatul Farrah Muhammad Johar, Nur Izzati Zailani, Ow Zi Qi, Adilah, Omar, Ainur, Sholihin, "</formula1>
    </dataValidation>
    <dataValidation type="list" allowBlank="1" showInputMessage="1" showErrorMessage="1" sqref="Y83:Y90 Y97:Y108 Y121 Y129:Y130 Y133:Y134 Y136:Y139 Y92 Y141:Y142 Y146 Y166" xr:uid="{ECBC1361-7EA0-4C7C-80A6-AA7A5582E90E}">
      <formula1>"Please Choose, Muhammad Fayyadh Muhammad Fahmi, Saidatul Farrah Muhammad Johar, Nur Izzati Zailani, Ow Zi Qi, Adilah, Omar, Sholihin, Ainur"</formula1>
    </dataValidation>
    <dataValidation type="list" allowBlank="1" showInputMessage="1" showErrorMessage="1" sqref="F93 F56 F131 F140 F151" xr:uid="{62F1BF4D-9DCF-4091-8E64-61F02555EB0A}">
      <formula1>"In-House, Public Training, Space Rental"</formula1>
    </dataValidation>
    <dataValidation type="list" allowBlank="1" showInputMessage="1" showErrorMessage="1" sqref="F82 F180 F195" xr:uid="{B034D02B-5EAE-4DA5-BA03-30397A6A520C}">
      <formula1>"In-House, Public Training, Cert Printing"</formula1>
    </dataValidation>
    <dataValidation type="list" allowBlank="1" showInputMessage="1" showErrorMessage="1" sqref="W1" xr:uid="{358358DE-E489-44B6-A32D-739EFB3B7C40}">
      <formula1>"Test 1, test 2"</formula1>
    </dataValidation>
    <dataValidation type="list" allowBlank="1" showInputMessage="1" showErrorMessage="1" sqref="W57:W196 W205 W248:W253 W2:W55" xr:uid="{9136B616-8FED-4801-8067-509B147C352C}">
      <formula1>"PO Received,In Progress,Invoiced,N/A"</formula1>
    </dataValidation>
    <dataValidation allowBlank="1" showInputMessage="1" showErrorMessage="1" sqref="X1" xr:uid="{8726CFD6-AF68-402C-8446-D115AC32DB95}"/>
    <dataValidation type="list" allowBlank="1" showInputMessage="1" showErrorMessage="1" sqref="Y110:Y112 Y116:Y117 Y119:Y120 Y124:Y128 Y132 Y135 Y143:Y145 Y147:Y165 Y167:Y196 Y198:Y199 Y203:Y208 Y210:Y217 Y220:Y226 Y228 Y231:Y234 Y236:Y244 Y246:Y254 Y258 Y262" xr:uid="{922C7F63-1E84-4E3C-8A94-8BD981467FFC}">
      <formula1>"Muhammad Fayyadh Muhammad Fahmi, Saidatul Farrah Muhammad Johar, Hariz,Ainur,Sholihin,Omar,Adilah"</formula1>
    </dataValidation>
    <dataValidation type="list" allowBlank="1" showInputMessage="1" showErrorMessage="1" sqref="Y113:Y114 Y122:Y123" xr:uid="{97E2E6B5-1726-461D-9B9D-6B24E41D7C3D}">
      <formula1>"Please Choose, Muhammad Fayyadh Muhammad Fahmi, Saidatul Farrah Muhammad Johar, Nur Izzati Zailani, Ow Zi Qi, Adilah/Fuziah, Omar, Sholihin, Ainur"</formula1>
    </dataValidation>
    <dataValidation type="list" allowBlank="1" showInputMessage="1" showErrorMessage="1" sqref="Y115 Y118" xr:uid="{6BC8C420-687D-4696-B0B1-DD6284DD2DC2}">
      <formula1>"Muhammad Fayyadh Muhammad Fahmi, Saidatul Farrah Muhammad Johar, Hariz,Ainur,Sholihin,Omar,Adilah,Fuziah / Sholihin"</formula1>
    </dataValidation>
    <dataValidation type="list" allowBlank="1" showInputMessage="1" showErrorMessage="1" sqref="W56" xr:uid="{7251BA7F-06BD-4111-9CBE-86518935B32A}">
      <formula1>"PO Received,In Progress,Invoiced,Payment Received"</formula1>
    </dataValidation>
    <dataValidation type="list" allowBlank="1" showInputMessage="1" showErrorMessage="1" sqref="X120:X196 X205 X248:X253 X2:X118" xr:uid="{F7E3A88A-5136-4123-83A2-3272888DE45A}">
      <formula1>"In Progress,Delivered,Not Started"</formula1>
    </dataValidation>
    <dataValidation type="list" allowBlank="1" showInputMessage="1" showErrorMessage="1" sqref="Y131 Y140" xr:uid="{6E9E5C00-6F95-4279-8F46-1A6E448B8796}">
      <formula1>"Muhammad Fayyadh Muhammad Fahmi, Saidatul Farrah Muhammad Johar, Hariz,Ainur,Sholihin,Omar,Adilah,Abu Said"</formula1>
    </dataValidation>
  </dataValidations>
  <hyperlinks>
    <hyperlink ref="L2" r:id="rId1" xr:uid="{E8CF78F8-4082-4CCF-86AE-F8805B38C9BB}"/>
    <hyperlink ref="L4" r:id="rId2" xr:uid="{4FCF64CB-2DC6-44DD-8CEB-B7ED12670ECF}"/>
    <hyperlink ref="L3" r:id="rId3" xr:uid="{B420E753-8AE3-42A1-A7B9-8AA9570C507D}"/>
    <hyperlink ref="L5" r:id="rId4" xr:uid="{E579D195-0A90-40B2-996A-6EDBE3ED2A8C}"/>
    <hyperlink ref="L6" r:id="rId5" xr:uid="{30C1E8F4-E7B7-4E36-9E34-564A6E7C1976}"/>
    <hyperlink ref="L7" r:id="rId6" xr:uid="{2104EEE5-2401-488C-8443-BEAB8D5CE4CE}"/>
    <hyperlink ref="L8" r:id="rId7" xr:uid="{25D3D17D-FD07-4AF4-B0F0-408B4F8F2042}"/>
    <hyperlink ref="L9" r:id="rId8" xr:uid="{17AE62D4-A949-4969-BB06-4DE21D9F3285}"/>
    <hyperlink ref="L10" r:id="rId9" xr:uid="{2B06652B-9E3F-4AA9-A37F-E23FCBB95160}"/>
    <hyperlink ref="L11" r:id="rId10" xr:uid="{E93302AD-0FD8-4C2C-9831-646249747CB5}"/>
    <hyperlink ref="L12" r:id="rId11" xr:uid="{4FC7F1F3-8327-499E-8CA9-939315211AA8}"/>
    <hyperlink ref="L18" r:id="rId12" xr:uid="{1A7523D2-166B-411E-BFD2-74AF64B559DA}"/>
    <hyperlink ref="L27" r:id="rId13" xr:uid="{5F1E0407-45F3-43CF-A453-6FE0A2DB9B14}"/>
    <hyperlink ref="L22" r:id="rId14" xr:uid="{0F9EC936-C035-4BAD-9F68-C0AF4A230EC7}"/>
    <hyperlink ref="L26" r:id="rId15" xr:uid="{E1B3EB54-83E3-4EEF-9E3A-F5E664428F34}"/>
    <hyperlink ref="L20" r:id="rId16" xr:uid="{59ADAB2A-DE5D-4A69-B531-5CD58E5BFAB4}"/>
    <hyperlink ref="L21" r:id="rId17" xr:uid="{8C29D4FC-2F20-4304-A729-12DE22771BEB}"/>
    <hyperlink ref="L29" r:id="rId18" xr:uid="{6310A984-14B5-47AF-B4C2-7B470D88AEB6}"/>
    <hyperlink ref="L45" r:id="rId19" xr:uid="{0BE2E44B-3BCB-45B7-9194-A151A53E5CDC}"/>
    <hyperlink ref="L57" r:id="rId20" xr:uid="{7C3CFA55-34A0-44B7-989C-34C8984209E9}"/>
    <hyperlink ref="L58" r:id="rId21" xr:uid="{23D39AEB-2D66-44DC-8A3B-55F4487E337B}"/>
    <hyperlink ref="L61" r:id="rId22" xr:uid="{ACEBE6C9-903E-4609-88B3-97197B88BD71}"/>
    <hyperlink ref="L85" r:id="rId23" xr:uid="{34B7D941-54A8-456B-B04C-2133CFDEBA0D}"/>
  </hyperlinks>
  <pageMargins left="0.7" right="0.7" top="0.75" bottom="0.75" header="0.3" footer="0.3"/>
  <pageSetup paperSize="9" fitToWidth="0" fitToHeight="0" orientation="landscape" blackAndWhite="1" r:id="rId24"/>
  <tableParts count="1">
    <tablePart r:id="rId2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F9B6FD401024CA945249B6E0DC146" ma:contentTypeVersion="17" ma:contentTypeDescription="Create a new document." ma:contentTypeScope="" ma:versionID="982deb0965f4e14de2b395d8b2533b00">
  <xsd:schema xmlns:xsd="http://www.w3.org/2001/XMLSchema" xmlns:xs="http://www.w3.org/2001/XMLSchema" xmlns:p="http://schemas.microsoft.com/office/2006/metadata/properties" xmlns:ns2="5f3daaf4-d967-4da0-ad17-adb95c5ace20" xmlns:ns3="09211326-89ad-4bd0-b6dd-aff52ca67a21" targetNamespace="http://schemas.microsoft.com/office/2006/metadata/properties" ma:root="true" ma:fieldsID="675470a2dadd6acbe58ea066200e54d8" ns2:_="" ns3:_="">
    <xsd:import namespace="5f3daaf4-d967-4da0-ad17-adb95c5ace20"/>
    <xsd:import namespace="09211326-89ad-4bd0-b6dd-aff52ca67a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TrainerName" minOccurs="0"/>
                <xsd:element ref="ns2:TrainerCategory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daaf4-d967-4da0-ad17-adb95c5ac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a8d7b5-0ee0-41c3-9aa4-eae2f4059a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TrainerName" ma:index="22" nillable="true" ma:displayName="Trainer Name" ma:format="Dropdown" ma:internalName="TrainerName">
      <xsd:simpleType>
        <xsd:restriction base="dms:Text">
          <xsd:maxLength value="255"/>
        </xsd:restriction>
      </xsd:simpleType>
    </xsd:element>
    <xsd:element name="TrainerCategory" ma:index="23" nillable="true" ma:displayName="Trainer Category" ma:format="Dropdown" ma:internalName="TrainerCategory">
      <xsd:simpleType>
        <xsd:restriction base="dms:Choice">
          <xsd:enumeration value="Freelance"/>
          <xsd:enumeration value="Training Partner"/>
          <xsd:enumeration value="Freelance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11326-89ad-4bd0-b6dd-aff52ca67a2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4a0c7f6-087e-4659-9262-e5256959297d}" ma:internalName="TaxCatchAll" ma:showField="CatchAllData" ma:web="09211326-89ad-4bd0-b6dd-aff52ca67a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3daaf4-d967-4da0-ad17-adb95c5ace20">
      <Terms xmlns="http://schemas.microsoft.com/office/infopath/2007/PartnerControls"/>
    </lcf76f155ced4ddcb4097134ff3c332f>
    <TaxCatchAll xmlns="09211326-89ad-4bd0-b6dd-aff52ca67a21" xsi:nil="true"/>
    <TrainerCategory xmlns="5f3daaf4-d967-4da0-ad17-adb95c5ace20" xsi:nil="true"/>
    <TrainerName xmlns="5f3daaf4-d967-4da0-ad17-adb95c5ace2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AF61E8-3D6C-4290-853B-E71C57F3D1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daaf4-d967-4da0-ad17-adb95c5ace20"/>
    <ds:schemaRef ds:uri="09211326-89ad-4bd0-b6dd-aff52ca67a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3EBAAF-1260-4ABC-AD7D-720FE1D7F727}">
  <ds:schemaRefs>
    <ds:schemaRef ds:uri="http://purl.org/dc/terms/"/>
    <ds:schemaRef ds:uri="5f3daaf4-d967-4da0-ad17-adb95c5ace20"/>
    <ds:schemaRef ds:uri="09211326-89ad-4bd0-b6dd-aff52ca67a21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7858005-C611-43C6-9A96-0906504108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Fayyadh Muhammad Fahmi</dc:creator>
  <cp:keywords/>
  <dc:description/>
  <cp:lastModifiedBy>Mohd Abu Sa'id Abdul Razak</cp:lastModifiedBy>
  <cp:revision/>
  <dcterms:created xsi:type="dcterms:W3CDTF">2025-12-12T01:36:44Z</dcterms:created>
  <dcterms:modified xsi:type="dcterms:W3CDTF">2026-08-19T14:38:46Z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0x010100A3FF9B6FD401024CA945249B6E0DC146</vt:lpwstr>
  </property>
  <property fmtid="{D5CDD505-2E9C-101B-9397-08002B2CF9AE}" pid="3" name="MediaServiceImageTags">
    <vt:lpwstr/>
  </property>
  <property fmtid="{D5CDD505-2E9C-101B-9397-08002B2CF9AE}" pid="4" name="Order">
    <vt:r8>203700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