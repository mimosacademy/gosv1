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C:\Users\abu.razak\Downloads\Update By MASB\Governance System\MA sysem dr nizar\"/>
    </mc:Choice>
  </mc:AlternateContent>
  <xr:revisionPtr revIDLastSave="0" documentId="8_{C34F6FF6-B772-4F99-B87D-1A55864308DF}" xr6:coauthVersionLast="36" xr6:coauthVersionMax="36" xr10:uidLastSave="{00000000-0000-0000-0000-000000000000}"/>
  <bookViews>
    <workbookView xWindow="0" yWindow="0" windowWidth="19200" windowHeight="6520" xr2:uid="{00000000-000D-0000-FFFF-FFFF00000000}"/>
  </bookViews>
  <sheets>
    <sheet name="MIMOS Academy - Dr Nizar" sheetId="25" r:id="rId1"/>
    <sheet name="AI Projects Summary" sheetId="44" r:id="rId2"/>
  </sheets>
  <definedNames>
    <definedName name="_xlnm._FilterDatabase" localSheetId="0" hidden="1">'MIMOS Academy - Dr Nizar'!$A$1:$K$156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9" i="25" l="1"/>
  <c r="H149" i="25" a="1"/>
  <c r="H149" i="25"/>
  <c r="A148" i="25"/>
  <c r="H148" i="25" a="1"/>
  <c r="H148" i="25" s="1"/>
  <c r="I148" i="25" s="1"/>
  <c r="H147" i="25" a="1"/>
  <c r="H147" i="25"/>
  <c r="I147" i="25" s="1"/>
  <c r="H146" i="25" a="1"/>
  <c r="H146" i="25"/>
  <c r="I146" i="25" s="1"/>
  <c r="H145" i="25" a="1"/>
  <c r="H145" i="25"/>
  <c r="I145" i="25" s="1"/>
  <c r="H139" i="25" a="1"/>
  <c r="H139" i="25"/>
  <c r="I139" i="25" s="1"/>
  <c r="H140" i="25" a="1"/>
  <c r="H140" i="25"/>
  <c r="I140" i="25" s="1"/>
  <c r="H141" i="25" a="1"/>
  <c r="H141" i="25"/>
  <c r="I141" i="25" s="1"/>
  <c r="H142" i="25" a="1"/>
  <c r="H142" i="25"/>
  <c r="I142" i="25" s="1"/>
  <c r="H143" i="25" a="1"/>
  <c r="H143" i="25"/>
  <c r="I143" i="25" s="1"/>
  <c r="H144" i="25" a="1"/>
  <c r="H144" i="25"/>
  <c r="I144" i="25" s="1"/>
  <c r="H137" i="25" a="1"/>
  <c r="H137" i="25"/>
  <c r="I137" i="25" s="1"/>
  <c r="H138" i="25" a="1"/>
  <c r="H138" i="25"/>
  <c r="I138" i="25" s="1"/>
  <c r="H134" i="25" a="1"/>
  <c r="H134" i="25"/>
  <c r="I134" i="25" s="1"/>
  <c r="H135" i="25" a="1"/>
  <c r="H135" i="25"/>
  <c r="I135" i="25" s="1"/>
  <c r="H136" i="25" a="1"/>
  <c r="H136" i="25"/>
  <c r="I136" i="25" s="1"/>
  <c r="H131" i="25" a="1"/>
  <c r="H131" i="25"/>
  <c r="H132" i="25" a="1"/>
  <c r="H132" i="25"/>
  <c r="H133" i="25" a="1"/>
  <c r="H133" i="25"/>
  <c r="I133" i="25" s="1"/>
  <c r="I131" i="25"/>
  <c r="I132" i="25"/>
  <c r="B123" i="44"/>
  <c r="B122" i="44"/>
  <c r="B121" i="44"/>
  <c r="B120" i="44"/>
  <c r="B119" i="44"/>
  <c r="B118" i="44"/>
  <c r="B117" i="44"/>
  <c r="B116" i="44"/>
  <c r="B115" i="44"/>
  <c r="B114" i="44"/>
  <c r="B65" i="44"/>
  <c r="B107" i="44"/>
  <c r="B64" i="44"/>
  <c r="H92" i="25" a="1"/>
  <c r="H92" i="25"/>
  <c r="H93" i="25" a="1"/>
  <c r="H93" i="25"/>
  <c r="H94" i="25" a="1"/>
  <c r="H94" i="25"/>
  <c r="H95" i="25" a="1"/>
  <c r="H95" i="25"/>
  <c r="H96" i="25" a="1"/>
  <c r="H96" i="25"/>
  <c r="H97" i="25" a="1"/>
  <c r="H97" i="25"/>
  <c r="H98" i="25" a="1"/>
  <c r="H98" i="25"/>
  <c r="H99" i="25" a="1"/>
  <c r="H99" i="25"/>
  <c r="H100" i="25" a="1"/>
  <c r="H100" i="25"/>
  <c r="H101" i="25" a="1"/>
  <c r="H101" i="25"/>
  <c r="H102" i="25" a="1"/>
  <c r="H102" i="25"/>
  <c r="H129" i="25" a="1"/>
  <c r="H129" i="25"/>
  <c r="I129" i="25" s="1"/>
  <c r="H130" i="25" a="1"/>
  <c r="H130" i="25"/>
  <c r="I130" i="25" s="1"/>
  <c r="H128" i="25" a="1"/>
  <c r="H128" i="25"/>
  <c r="A4" i="25"/>
  <c r="A5" i="25" s="1"/>
  <c r="A6" i="25" s="1"/>
  <c r="A7" i="25" s="1"/>
  <c r="H2" i="25" a="1"/>
  <c r="H2" i="25"/>
  <c r="I2" i="25" s="1"/>
  <c r="I128" i="25"/>
  <c r="H124" i="25" a="1"/>
  <c r="H124" i="25"/>
  <c r="I124" i="25" s="1"/>
  <c r="H125" i="25" a="1"/>
  <c r="H125" i="25"/>
  <c r="I125" i="25" s="1"/>
  <c r="H126" i="25" a="1"/>
  <c r="H126" i="25"/>
  <c r="I126" i="25" s="1"/>
  <c r="H127" i="25" a="1"/>
  <c r="H127" i="25"/>
  <c r="I127" i="25" s="1"/>
  <c r="H123" i="25" a="1"/>
  <c r="H123" i="25"/>
  <c r="I123" i="25" s="1"/>
  <c r="I92" i="25"/>
  <c r="I93" i="25"/>
  <c r="I94" i="25"/>
  <c r="I95" i="25"/>
  <c r="I96" i="25"/>
  <c r="I97" i="25"/>
  <c r="I98" i="25"/>
  <c r="I99" i="25"/>
  <c r="I100" i="25"/>
  <c r="I101" i="25"/>
  <c r="I102" i="25"/>
  <c r="H103" i="25" a="1"/>
  <c r="H103" i="25"/>
  <c r="I103" i="25" s="1"/>
  <c r="H104" i="25" a="1"/>
  <c r="H104" i="25"/>
  <c r="I104" i="25" s="1"/>
  <c r="H105" i="25" a="1"/>
  <c r="H105" i="25"/>
  <c r="I105" i="25" s="1"/>
  <c r="H106" i="25" a="1"/>
  <c r="H106" i="25"/>
  <c r="I106" i="25" s="1"/>
  <c r="H107" i="25" a="1"/>
  <c r="H107" i="25"/>
  <c r="I107" i="25" s="1"/>
  <c r="H108" i="25" a="1"/>
  <c r="H108" i="25"/>
  <c r="I108" i="25" s="1"/>
  <c r="H109" i="25" a="1"/>
  <c r="H109" i="25"/>
  <c r="I109" i="25" s="1"/>
  <c r="H110" i="25" a="1"/>
  <c r="H110" i="25"/>
  <c r="I110" i="25" s="1"/>
  <c r="H111" i="25" a="1"/>
  <c r="H111" i="25"/>
  <c r="I111" i="25" s="1"/>
  <c r="H112" i="25" a="1"/>
  <c r="H112" i="25"/>
  <c r="I112" i="25" s="1"/>
  <c r="H113" i="25" a="1"/>
  <c r="H113" i="25"/>
  <c r="I113" i="25" s="1"/>
  <c r="H114" i="25" a="1"/>
  <c r="H114" i="25"/>
  <c r="I114" i="25" s="1"/>
  <c r="H115" i="25" a="1"/>
  <c r="H115" i="25"/>
  <c r="I115" i="25" s="1"/>
  <c r="H116" i="25" a="1"/>
  <c r="H116" i="25"/>
  <c r="I116" i="25" s="1"/>
  <c r="H117" i="25" a="1"/>
  <c r="H117" i="25"/>
  <c r="I117" i="25" s="1"/>
  <c r="H118" i="25" a="1"/>
  <c r="H118" i="25"/>
  <c r="I118" i="25" s="1"/>
  <c r="H119" i="25" a="1"/>
  <c r="H119" i="25"/>
  <c r="I119" i="25" s="1"/>
  <c r="H120" i="25" a="1"/>
  <c r="H120" i="25"/>
  <c r="I120" i="25" s="1"/>
  <c r="H121" i="25" a="1"/>
  <c r="H121" i="25"/>
  <c r="I121" i="25" s="1"/>
  <c r="H122" i="25" a="1"/>
  <c r="H122" i="25"/>
  <c r="I122" i="25" s="1"/>
  <c r="K156" i="25"/>
  <c r="H91" i="25" a="1"/>
  <c r="H91" i="25"/>
  <c r="I91" i="25" s="1"/>
  <c r="H83" i="25" a="1"/>
  <c r="H83" i="25" s="1"/>
  <c r="I83" i="25" s="1"/>
  <c r="H90" i="25" a="1"/>
  <c r="H90" i="25"/>
  <c r="I90" i="25" s="1"/>
  <c r="H89" i="25" a="1"/>
  <c r="H89" i="25"/>
  <c r="I89" i="25" s="1"/>
  <c r="H88" i="25" a="1"/>
  <c r="H88" i="25"/>
  <c r="I88" i="25" s="1"/>
  <c r="H87" i="25" a="1"/>
  <c r="H87" i="25"/>
  <c r="I87" i="25" s="1"/>
  <c r="H86" i="25" a="1"/>
  <c r="H86" i="25"/>
  <c r="I86" i="25" s="1"/>
  <c r="H85" i="25" a="1"/>
  <c r="H85" i="25"/>
  <c r="I85" i="25" s="1"/>
  <c r="H84" i="25" a="1"/>
  <c r="H84" i="25"/>
  <c r="I84" i="25" s="1"/>
  <c r="H46" i="25" a="1"/>
  <c r="H46" i="25"/>
  <c r="I46" i="25" s="1"/>
  <c r="H33" i="25" a="1"/>
  <c r="H33" i="25"/>
  <c r="I33" i="25" s="1"/>
  <c r="H8" i="25" a="1"/>
  <c r="H8" i="25"/>
  <c r="H81" i="25" a="1"/>
  <c r="H81" i="25"/>
  <c r="I81" i="25" s="1"/>
  <c r="H80" i="25" a="1"/>
  <c r="H80" i="25"/>
  <c r="I80" i="25" s="1"/>
  <c r="H76" i="25" a="1"/>
  <c r="H76" i="25"/>
  <c r="I76" i="25" s="1"/>
  <c r="J76" i="25" s="1"/>
  <c r="H77" i="25" a="1"/>
  <c r="H77" i="25"/>
  <c r="I77" i="25" s="1"/>
  <c r="H78" i="25" a="1"/>
  <c r="H78" i="25"/>
  <c r="I78" i="25" s="1"/>
  <c r="H79" i="25" a="1"/>
  <c r="H79" i="25"/>
  <c r="I79" i="25" s="1"/>
  <c r="H82" i="25" a="1"/>
  <c r="H82" i="25"/>
  <c r="I82" i="25" s="1"/>
  <c r="H75" i="25" a="1"/>
  <c r="H75" i="25"/>
  <c r="I75" i="25" s="1"/>
  <c r="J75" i="25" s="1"/>
  <c r="H74" i="25" a="1"/>
  <c r="H74" i="25"/>
  <c r="I74" i="25" s="1"/>
  <c r="J74" i="25" s="1"/>
  <c r="H62" i="25" a="1"/>
  <c r="H62" i="25"/>
  <c r="I62" i="25" s="1"/>
  <c r="H63" i="25" a="1"/>
  <c r="H63" i="25"/>
  <c r="I63" i="25" s="1"/>
  <c r="H64" i="25" a="1"/>
  <c r="H64" i="25"/>
  <c r="I64" i="25" s="1"/>
  <c r="H65" i="25" a="1"/>
  <c r="H65" i="25"/>
  <c r="I65" i="25" s="1"/>
  <c r="H66" i="25" a="1"/>
  <c r="H66" i="25"/>
  <c r="I66" i="25" s="1"/>
  <c r="H67" i="25" a="1"/>
  <c r="H67" i="25"/>
  <c r="I67" i="25" s="1"/>
  <c r="H68" i="25" a="1"/>
  <c r="H68" i="25"/>
  <c r="I68" i="25" s="1"/>
  <c r="H69" i="25" a="1"/>
  <c r="H69" i="25"/>
  <c r="I69" i="25" s="1"/>
  <c r="H70" i="25" a="1"/>
  <c r="H70" i="25"/>
  <c r="I70" i="25" s="1"/>
  <c r="H71" i="25" a="1"/>
  <c r="H71" i="25"/>
  <c r="I71" i="25" s="1"/>
  <c r="J71" i="25" s="1"/>
  <c r="H72" i="25" a="1"/>
  <c r="H72" i="25"/>
  <c r="I72" i="25" s="1"/>
  <c r="H73" i="25" a="1"/>
  <c r="H73" i="25"/>
  <c r="I73" i="25" s="1"/>
  <c r="H59" i="25" a="1"/>
  <c r="H59" i="25"/>
  <c r="I59" i="25" s="1"/>
  <c r="H60" i="25" a="1"/>
  <c r="H60" i="25"/>
  <c r="I60" i="25" s="1"/>
  <c r="H61" i="25" a="1"/>
  <c r="H61" i="25"/>
  <c r="I61" i="25" s="1"/>
  <c r="E6" i="25"/>
  <c r="E156" i="25" s="1"/>
  <c r="H4" i="25" a="1"/>
  <c r="H4" i="25"/>
  <c r="I4" i="25" s="1"/>
  <c r="H5" i="25" a="1"/>
  <c r="H5" i="25"/>
  <c r="I5" i="25" s="1"/>
  <c r="J5" i="25" s="1"/>
  <c r="H6" i="25" a="1"/>
  <c r="H6" i="25"/>
  <c r="I6" i="25" s="1"/>
  <c r="H7" i="25" a="1"/>
  <c r="H7" i="25"/>
  <c r="I7" i="25" s="1"/>
  <c r="I8" i="25"/>
  <c r="H9" i="25" a="1"/>
  <c r="H9" i="25"/>
  <c r="I9" i="25" s="1"/>
  <c r="H10" i="25" a="1"/>
  <c r="H10" i="25"/>
  <c r="I10" i="25" s="1"/>
  <c r="H11" i="25" a="1"/>
  <c r="H11" i="25"/>
  <c r="I11" i="25" s="1"/>
  <c r="H12" i="25" a="1"/>
  <c r="H12" i="25"/>
  <c r="I12" i="25" s="1"/>
  <c r="H13" i="25" a="1"/>
  <c r="H13" i="25"/>
  <c r="I13" i="25" s="1"/>
  <c r="H14" i="25" a="1"/>
  <c r="H14" i="25"/>
  <c r="I14" i="25" s="1"/>
  <c r="H15" i="25" a="1"/>
  <c r="H15" i="25"/>
  <c r="I15" i="25" s="1"/>
  <c r="H16" i="25" a="1"/>
  <c r="H16" i="25"/>
  <c r="I16" i="25" s="1"/>
  <c r="H17" i="25" a="1"/>
  <c r="H17" i="25"/>
  <c r="I17" i="25" s="1"/>
  <c r="H18" i="25" a="1"/>
  <c r="H18" i="25"/>
  <c r="I18" i="25" s="1"/>
  <c r="H19" i="25" a="1"/>
  <c r="H19" i="25"/>
  <c r="I19" i="25" s="1"/>
  <c r="H20" i="25" a="1"/>
  <c r="H20" i="25"/>
  <c r="I20" i="25" s="1"/>
  <c r="H21" i="25" a="1"/>
  <c r="H21" i="25"/>
  <c r="I21" i="25" s="1"/>
  <c r="H22" i="25" a="1"/>
  <c r="H22" i="25"/>
  <c r="I22" i="25" s="1"/>
  <c r="H23" i="25" a="1"/>
  <c r="H23" i="25"/>
  <c r="I23" i="25" s="1"/>
  <c r="H24" i="25" a="1"/>
  <c r="H24" i="25"/>
  <c r="I24" i="25" s="1"/>
  <c r="H25" i="25" a="1"/>
  <c r="H25" i="25"/>
  <c r="I25" i="25" s="1"/>
  <c r="H26" i="25" a="1"/>
  <c r="H26" i="25"/>
  <c r="I26" i="25" s="1"/>
  <c r="H27" i="25" a="1"/>
  <c r="H27" i="25"/>
  <c r="I27" i="25" s="1"/>
  <c r="H28" i="25" a="1"/>
  <c r="H28" i="25"/>
  <c r="I28" i="25" s="1"/>
  <c r="H29" i="25" a="1"/>
  <c r="H29" i="25"/>
  <c r="I29" i="25" s="1"/>
  <c r="H30" i="25" a="1"/>
  <c r="H30" i="25"/>
  <c r="I30" i="25" s="1"/>
  <c r="H31" i="25" a="1"/>
  <c r="H31" i="25"/>
  <c r="I31" i="25" s="1"/>
  <c r="H32" i="25" a="1"/>
  <c r="H32" i="25"/>
  <c r="I32" i="25" s="1"/>
  <c r="J32" i="25" s="1"/>
  <c r="H34" i="25" a="1"/>
  <c r="H34" i="25"/>
  <c r="I34" i="25" s="1"/>
  <c r="J34" i="25" s="1"/>
  <c r="H35" i="25" a="1"/>
  <c r="H35" i="25"/>
  <c r="I35" i="25" s="1"/>
  <c r="H36" i="25" a="1"/>
  <c r="H36" i="25"/>
  <c r="I36" i="25" s="1"/>
  <c r="H37" i="25" a="1"/>
  <c r="H37" i="25"/>
  <c r="I37" i="25" s="1"/>
  <c r="H38" i="25" a="1"/>
  <c r="H38" i="25"/>
  <c r="I38" i="25" s="1"/>
  <c r="H39" i="25" a="1"/>
  <c r="H39" i="25"/>
  <c r="I39" i="25" s="1"/>
  <c r="H40" i="25" a="1"/>
  <c r="H40" i="25"/>
  <c r="I40" i="25" s="1"/>
  <c r="H41" i="25" a="1"/>
  <c r="H41" i="25"/>
  <c r="I41" i="25" s="1"/>
  <c r="H42" i="25" a="1"/>
  <c r="H42" i="25"/>
  <c r="I42" i="25" s="1"/>
  <c r="H43" i="25" a="1"/>
  <c r="H43" i="25"/>
  <c r="I43" i="25" s="1"/>
  <c r="J43" i="25" s="1"/>
  <c r="H44" i="25" a="1"/>
  <c r="H44" i="25"/>
  <c r="I44" i="25" s="1"/>
  <c r="J44" i="25" s="1"/>
  <c r="H45" i="25" a="1"/>
  <c r="H45" i="25"/>
  <c r="I45" i="25" s="1"/>
  <c r="H47" i="25" a="1"/>
  <c r="H47" i="25"/>
  <c r="I47" i="25" s="1"/>
  <c r="H48" i="25" a="1"/>
  <c r="H48" i="25"/>
  <c r="I48" i="25" s="1"/>
  <c r="H49" i="25" a="1"/>
  <c r="H49" i="25"/>
  <c r="I49" i="25" s="1"/>
  <c r="H50" i="25" a="1"/>
  <c r="H50" i="25"/>
  <c r="I50" i="25" s="1"/>
  <c r="H51" i="25" a="1"/>
  <c r="H51" i="25"/>
  <c r="I51" i="25" s="1"/>
  <c r="H52" i="25" a="1"/>
  <c r="H52" i="25"/>
  <c r="I52" i="25" s="1"/>
  <c r="H53" i="25" a="1"/>
  <c r="H53" i="25"/>
  <c r="I53" i="25" s="1"/>
  <c r="H54" i="25" a="1"/>
  <c r="H54" i="25"/>
  <c r="I54" i="25" s="1"/>
  <c r="J54" i="25" s="1"/>
  <c r="H55" i="25" a="1"/>
  <c r="H55" i="25"/>
  <c r="I55" i="25" s="1"/>
  <c r="H56" i="25" a="1"/>
  <c r="H56" i="25"/>
  <c r="I56" i="25" s="1"/>
  <c r="H57" i="25" a="1"/>
  <c r="H57" i="25"/>
  <c r="I57" i="25" s="1"/>
  <c r="H58" i="25" a="1"/>
  <c r="H58" i="25"/>
  <c r="I58" i="25" s="1"/>
  <c r="I3" i="25"/>
  <c r="J156" i="25" l="1"/>
  <c r="I161" i="25"/>
  <c r="I156" i="25"/>
  <c r="A8" i="25"/>
  <c r="A9" i="25" s="1"/>
  <c r="A10" i="25" s="1"/>
  <c r="A11" i="25" s="1"/>
  <c r="A12" i="25" s="1"/>
  <c r="A13" i="25" s="1"/>
  <c r="A14" i="25"/>
  <c r="A15" i="25" s="1"/>
  <c r="A16" i="25" s="1"/>
  <c r="A17" i="25" s="1"/>
  <c r="A18" i="25" s="1"/>
  <c r="A19" i="25" s="1"/>
  <c r="A20" i="25" s="1"/>
  <c r="I158" i="25"/>
  <c r="I159" i="25"/>
  <c r="A21" i="25" l="1"/>
  <c r="A22" i="25" s="1"/>
  <c r="A23" i="25" s="1"/>
  <c r="I160" i="25"/>
  <c r="I162" i="25" s="1"/>
  <c r="A24" i="25" l="1"/>
  <c r="A25" i="25" s="1"/>
  <c r="A26" i="25" s="1"/>
  <c r="I166" i="25"/>
  <c r="I164" i="25"/>
  <c r="A27" i="25" l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l="1"/>
  <c r="A39" i="25" s="1"/>
  <c r="A40" i="25" l="1"/>
  <c r="A41" i="25" s="1"/>
  <c r="A42" i="25" l="1"/>
  <c r="A43" i="25" s="1"/>
  <c r="A44" i="25" s="1"/>
  <c r="A45" i="25" s="1"/>
  <c r="A46" i="25" l="1"/>
  <c r="A47" i="25" s="1"/>
  <c r="A48" i="25" s="1"/>
  <c r="A49" i="25" s="1"/>
  <c r="A50" i="25" s="1"/>
  <c r="A51" i="25" s="1"/>
  <c r="A52" i="25" s="1"/>
  <c r="A53" i="25" s="1"/>
  <c r="A54" i="25" l="1"/>
  <c r="A55" i="25" s="1"/>
  <c r="A56" i="25" s="1"/>
  <c r="A57" i="25" l="1"/>
  <c r="A58" i="25" s="1"/>
  <c r="A59" i="25" l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l="1"/>
  <c r="A86" i="25" s="1"/>
  <c r="A87" i="25" s="1"/>
  <c r="A88" i="25" s="1"/>
  <c r="A89" i="25" s="1"/>
  <c r="A90" i="25" s="1"/>
  <c r="A91" i="25" s="1"/>
  <c r="A92" i="25" s="1"/>
  <c r="A93" i="25" s="1"/>
  <c r="A94" i="25" l="1"/>
  <c r="A95" i="25" s="1"/>
  <c r="A96" i="25" s="1"/>
  <c r="A97" i="25" l="1"/>
  <c r="A98" i="25" s="1"/>
  <c r="A99" i="25" s="1"/>
  <c r="A100" i="25" s="1"/>
  <c r="A101" i="25" s="1"/>
  <c r="A102" i="25" s="1"/>
  <c r="A103" i="25" s="1"/>
  <c r="A104" i="25" l="1"/>
  <c r="A105" i="25" s="1"/>
  <c r="A106" i="25" s="1"/>
  <c r="A107" i="25" s="1"/>
  <c r="A108" i="25" s="1"/>
  <c r="A109" i="25" s="1"/>
  <c r="A110" i="25" s="1"/>
  <c r="A111" i="25" l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l="1"/>
  <c r="A124" i="25" s="1"/>
  <c r="A125" i="25" s="1"/>
  <c r="A126" i="25" s="1"/>
  <c r="A127" i="25" l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<sst xmlns="http://schemas.openxmlformats.org/spreadsheetml/2006/main" count="1068" uniqueCount="261">
  <si>
    <t>No</t>
  </si>
  <si>
    <t>Clients</t>
  </si>
  <si>
    <t>Project/Opportunities</t>
  </si>
  <si>
    <t>Type</t>
  </si>
  <si>
    <t>Forecast Value (RM)</t>
  </si>
  <si>
    <r>
      <t xml:space="preserve">Status </t>
    </r>
    <r>
      <rPr>
        <b/>
        <sz val="10"/>
        <color rgb="FFFF0000"/>
        <rFont val="Arial"/>
        <family val="2"/>
      </rPr>
      <t>(choose from drop-down list)</t>
    </r>
  </si>
  <si>
    <r>
      <t xml:space="preserve">Speed to market (PO/Contract) </t>
    </r>
    <r>
      <rPr>
        <b/>
        <sz val="10"/>
        <color rgb="FFFF0000"/>
        <rFont val="Arial"/>
        <family val="2"/>
      </rPr>
      <t>choose from drop-down list</t>
    </r>
  </si>
  <si>
    <t>Probability of success (%)</t>
  </si>
  <si>
    <t>Weighted Forecast Value(RM)</t>
  </si>
  <si>
    <t>PO / Secured New Order Book(RM) / SST</t>
  </si>
  <si>
    <t>Remarks : Public / Private Sector</t>
  </si>
  <si>
    <t>Kementerian Sumber Manusia</t>
  </si>
  <si>
    <t>AI Vibe Coding</t>
  </si>
  <si>
    <t>MIMOS Academy</t>
  </si>
  <si>
    <t>Contract signed/PO issued</t>
  </si>
  <si>
    <t>Q1 2026</t>
  </si>
  <si>
    <t>Government</t>
  </si>
  <si>
    <t>Ketengah</t>
  </si>
  <si>
    <t>In-House AI Training</t>
  </si>
  <si>
    <t>Q3 2026</t>
  </si>
  <si>
    <t>Early engagement</t>
  </si>
  <si>
    <t>Q4 2026</t>
  </si>
  <si>
    <t>Universiti Teknologi Malaysia</t>
  </si>
  <si>
    <t>TTT AI</t>
  </si>
  <si>
    <t>Q2 2026</t>
  </si>
  <si>
    <t>Private</t>
  </si>
  <si>
    <t>TNB ILSAS</t>
  </si>
  <si>
    <t>Qualified lead/Tender in progress</t>
  </si>
  <si>
    <t>MARA HQ</t>
  </si>
  <si>
    <t>Verbal commitment</t>
  </si>
  <si>
    <t>MSIA PALM OIL GREEN CONSERVATION FOUNDATION</t>
  </si>
  <si>
    <t>Lost/No-go</t>
  </si>
  <si>
    <t>KPM</t>
  </si>
  <si>
    <t>PERKESO</t>
  </si>
  <si>
    <t>KPJ</t>
  </si>
  <si>
    <t>MRANTI</t>
  </si>
  <si>
    <t>INSKEN</t>
  </si>
  <si>
    <t>In-House AI Training TTT</t>
  </si>
  <si>
    <t>NORTHERN CORRIDOR</t>
  </si>
  <si>
    <t>In-House</t>
  </si>
  <si>
    <t>LITE CABLE</t>
  </si>
  <si>
    <t>Public Training</t>
  </si>
  <si>
    <t>DATACRYPTIC</t>
  </si>
  <si>
    <t>3D METRIC</t>
  </si>
  <si>
    <t>ROSCIL SYSTEMS</t>
  </si>
  <si>
    <t>Public Training -TTT</t>
  </si>
  <si>
    <t>POIS</t>
  </si>
  <si>
    <t>PUBLIC TRAINING AI</t>
  </si>
  <si>
    <t>Negotiation stage</t>
  </si>
  <si>
    <t>TENAGA SWITCHGEAR</t>
  </si>
  <si>
    <t>In-House PMO</t>
  </si>
  <si>
    <t>INDIGO</t>
  </si>
  <si>
    <t>SEMICONDUCTOR TRAINING</t>
  </si>
  <si>
    <t>MARA</t>
  </si>
  <si>
    <t>MARA Training Grant for Semiconductor, AI, Big Data, IR4.0, etc</t>
  </si>
  <si>
    <t>Efficient Frontier Consulting (Khazanah)</t>
  </si>
  <si>
    <t>Khazanah Youth Talent Development Program Training Grant for Semiconductor</t>
  </si>
  <si>
    <t>Fakulti Sains, UM (KPT)</t>
  </si>
  <si>
    <t>KPT Training Grant for Semiconductor</t>
  </si>
  <si>
    <t>PTPK / JPK</t>
  </si>
  <si>
    <t>PTPK Training Grant for Semiconductor, AI, Big Data, IR4.0, etc</t>
  </si>
  <si>
    <t>Proposal/Tender submitted</t>
  </si>
  <si>
    <t>MCMC Academy</t>
  </si>
  <si>
    <t>AI Training for Telcos and Broadcasters</t>
  </si>
  <si>
    <t>Kementerian Perumahan &amp; Kerajaan Tempatan</t>
  </si>
  <si>
    <t>In-House AI</t>
  </si>
  <si>
    <t>Jabatan Pendaftaran Negara</t>
  </si>
  <si>
    <t>MINDEF</t>
  </si>
  <si>
    <t>In-House AI Training Cohort 1</t>
  </si>
  <si>
    <t>In-House AI Training Cohort 2</t>
  </si>
  <si>
    <t>Embodera Group</t>
  </si>
  <si>
    <t>Public Training AI</t>
  </si>
  <si>
    <t>MTDC</t>
  </si>
  <si>
    <t>Yayasan Peneraju - Knowledgecom</t>
  </si>
  <si>
    <t>AI, COMTIA, Power BI &amp; Microsoft Certificate</t>
  </si>
  <si>
    <t>CAD-IT</t>
  </si>
  <si>
    <t>Ansys Training Programme</t>
  </si>
  <si>
    <t>MIGHT</t>
  </si>
  <si>
    <t xml:space="preserve">AI Training </t>
  </si>
  <si>
    <t>MIGHT - Members</t>
  </si>
  <si>
    <t>AI Training</t>
  </si>
  <si>
    <t>Institut Aminuddin Baki KPM</t>
  </si>
  <si>
    <t>Yayasan Peneraju</t>
  </si>
  <si>
    <t>Sarawak Skills</t>
  </si>
  <si>
    <t>MSSB</t>
  </si>
  <si>
    <t xml:space="preserve">Staff Development Training </t>
  </si>
  <si>
    <t>Interco</t>
  </si>
  <si>
    <t>SIRIM Academy</t>
  </si>
  <si>
    <t>In-House (Overview of Semiconductor Industry for ISO &amp; ESG Consultant) training</t>
  </si>
  <si>
    <t>Received Letter of Instruction &amp; Offer Letter as Trainer from SIRIM Academy</t>
  </si>
  <si>
    <t>UTM MJIT</t>
  </si>
  <si>
    <t>ISO &amp; ESG</t>
  </si>
  <si>
    <t>Frontken (M) Sdn Bhd</t>
  </si>
  <si>
    <t>In-House (ISO9001, ISO140001, 8D, Presentation Skills) training</t>
  </si>
  <si>
    <t>Daffodil Bangladesh</t>
  </si>
  <si>
    <t>Semiconductor</t>
  </si>
  <si>
    <t>JPSM Sabah</t>
  </si>
  <si>
    <t>AI, Graduates Program</t>
  </si>
  <si>
    <t>INTURA</t>
  </si>
  <si>
    <t>TTT, AI - Penjawat Awam</t>
  </si>
  <si>
    <t>BCM Electronics (M) Sdn Bhd</t>
  </si>
  <si>
    <t>Manufacturing</t>
  </si>
  <si>
    <t>Luhur Asia (Majlis TVET Negara)</t>
  </si>
  <si>
    <t>JPK Micro-Credential Programmes</t>
  </si>
  <si>
    <t>VNT Holdings (CREST &amp; MITI)</t>
  </si>
  <si>
    <t>Semiconductor Talent Development</t>
  </si>
  <si>
    <t>KESUMA JPK</t>
  </si>
  <si>
    <t>KESUMA BPM</t>
  </si>
  <si>
    <t>In-House Vibe Coding (AI)</t>
  </si>
  <si>
    <t>Kementerian Belia &amp; Sukan</t>
  </si>
  <si>
    <t>In-house AI training</t>
  </si>
  <si>
    <t>MOSTI</t>
  </si>
  <si>
    <t>In-house TTT</t>
  </si>
  <si>
    <t>AI Literacy for MCMC</t>
  </si>
  <si>
    <t>PETRA</t>
  </si>
  <si>
    <t>Asia Pacific Training (USD800/pax)</t>
  </si>
  <si>
    <t>PUNB</t>
  </si>
  <si>
    <t>TATI</t>
  </si>
  <si>
    <t>KITAB Penang</t>
  </si>
  <si>
    <t>Pahang Skills</t>
  </si>
  <si>
    <t>DPIM</t>
  </si>
  <si>
    <t>AI Training for Asnaf</t>
  </si>
  <si>
    <t>AI Training for Teachers</t>
  </si>
  <si>
    <t>AI Training for Staff</t>
  </si>
  <si>
    <t>Bank Rakyat</t>
  </si>
  <si>
    <t>MDEC</t>
  </si>
  <si>
    <t>AI Training for PLC</t>
  </si>
  <si>
    <t>Institut Koperasi Malaysia</t>
  </si>
  <si>
    <t>UZMA</t>
  </si>
  <si>
    <t>AI Public Training (Jan26)</t>
  </si>
  <si>
    <t>AI Public Training (Feb26)</t>
  </si>
  <si>
    <t>AI Internal Training</t>
  </si>
  <si>
    <t xml:space="preserve">Internal Training- MIMOS </t>
  </si>
  <si>
    <t>MIMOS HRDF</t>
  </si>
  <si>
    <t>Internal Training- MIMOS (Finance for Non Finance)</t>
  </si>
  <si>
    <t>Internal Training- MIMOS (Design Thinking for Innovation)</t>
  </si>
  <si>
    <t>CPS- MIMOS</t>
  </si>
  <si>
    <t>Services- Dialogue</t>
  </si>
  <si>
    <t>CPS-MIMOS</t>
  </si>
  <si>
    <t>Services- Workshop</t>
  </si>
  <si>
    <t>Rental</t>
  </si>
  <si>
    <t>JMTI</t>
  </si>
  <si>
    <t>TTT- Front End Wafer Fab</t>
  </si>
  <si>
    <t>TTT- Front End Wafer Fab (Phase 2)</t>
  </si>
  <si>
    <t>TTT</t>
  </si>
  <si>
    <t>Koperasi Tentera</t>
  </si>
  <si>
    <t>MIMOS Berhad -Internal</t>
  </si>
  <si>
    <t>PMP</t>
  </si>
  <si>
    <t>MOF</t>
  </si>
  <si>
    <t>AI System Thinking</t>
  </si>
  <si>
    <t>Multicompany (Public)</t>
  </si>
  <si>
    <t>AI Certified Trainer &amp; Practitioner</t>
  </si>
  <si>
    <t>Aisling Consultancy</t>
  </si>
  <si>
    <t>Semiconductor Manaufacturing Process &amp; Analysis</t>
  </si>
  <si>
    <t>TVET AI Literacy (MRSM)</t>
  </si>
  <si>
    <t>UNIKL Degree Program</t>
  </si>
  <si>
    <t>UNISEL</t>
  </si>
  <si>
    <t>AI System Thinking training</t>
  </si>
  <si>
    <t>TVET MARA training</t>
  </si>
  <si>
    <t>Luhur Asia</t>
  </si>
  <si>
    <t>TVET Training</t>
  </si>
  <si>
    <t>Kolej Yayasan Pahang</t>
  </si>
  <si>
    <t>Safety Guideline for Semiconductor training</t>
  </si>
  <si>
    <t>NAIO</t>
  </si>
  <si>
    <t xml:space="preserve">AI Public Awareness </t>
  </si>
  <si>
    <t>AI for Educator</t>
  </si>
  <si>
    <t>AI for Apparentice</t>
  </si>
  <si>
    <t>TTT: AI Certified Trainer and Practitioner</t>
  </si>
  <si>
    <t>ERL</t>
  </si>
  <si>
    <t>Embedded Programming</t>
  </si>
  <si>
    <t>Public (Mixed)</t>
  </si>
  <si>
    <t>Certified Data Scientist training</t>
  </si>
  <si>
    <t>MCMC</t>
  </si>
  <si>
    <t>Kementerian Digital</t>
  </si>
  <si>
    <t>Notebooklm &amp; AI System Thinking training</t>
  </si>
  <si>
    <t>Kementerian Perdagangan Dalam Negeri &amp; Keterjaminan Makanan</t>
  </si>
  <si>
    <t>AI, Data Analytics &amp; Programming (Beginner) training</t>
  </si>
  <si>
    <t>UKM Pakarunding</t>
  </si>
  <si>
    <t>ESG Training Certified Consultant</t>
  </si>
  <si>
    <t>CCSB</t>
  </si>
  <si>
    <t>AI Powered Video Content Creation training</t>
  </si>
  <si>
    <t>IAB</t>
  </si>
  <si>
    <t>AI Train Headmaster</t>
  </si>
  <si>
    <t>Takaful Ikhlas</t>
  </si>
  <si>
    <t>AIR BORNEO</t>
  </si>
  <si>
    <t xml:space="preserve">AI System Thinking </t>
  </si>
  <si>
    <t>AI System Thinking for Technical Operations</t>
  </si>
  <si>
    <t>INOKOM</t>
  </si>
  <si>
    <t>AI System Thinking + AI Box</t>
  </si>
  <si>
    <t>Lembaga Tabung Haji</t>
  </si>
  <si>
    <t>Institut Penyelidikan Sains &amp; Teknologi Pertahanan</t>
  </si>
  <si>
    <t>KBS</t>
  </si>
  <si>
    <t>AI Vibe Coding training</t>
  </si>
  <si>
    <t>UniKL MIDI</t>
  </si>
  <si>
    <t>Industrial Design Workshop</t>
  </si>
  <si>
    <t>Uzma Berhad</t>
  </si>
  <si>
    <t>AI Masterclass for Leaders &amp; Management</t>
  </si>
  <si>
    <t>ISO 14000</t>
  </si>
  <si>
    <t>MIMOS Berhad</t>
  </si>
  <si>
    <t>Finance for Strategic Decision Makers Training</t>
  </si>
  <si>
    <t>IKMA</t>
  </si>
  <si>
    <t>AI Public Training</t>
  </si>
  <si>
    <t>AI for Ahli Lembaga training</t>
  </si>
  <si>
    <t>Wice Solution</t>
  </si>
  <si>
    <t>Space Rental</t>
  </si>
  <si>
    <t>MCMC - Hybrid Intelligence (NADI)</t>
  </si>
  <si>
    <t>1 NADI, 1 Prompt Engineer training</t>
  </si>
  <si>
    <t>IC Design for Semiconductor &amp; AI for Semiconductor training</t>
  </si>
  <si>
    <t>Global Electronics Association (GEA)</t>
  </si>
  <si>
    <t>IPC Authorized Training Provider</t>
  </si>
  <si>
    <t>Knowledgecom</t>
  </si>
  <si>
    <t>Yayasan Peneraju - Training Promotion</t>
  </si>
  <si>
    <t>Kementerian Perdagangan Dalam Negeri (KPDN)</t>
  </si>
  <si>
    <t>Vibe Coding training</t>
  </si>
  <si>
    <t>Jabatan Pendaftaran Negara (JPN)</t>
  </si>
  <si>
    <t>AI for Montage training</t>
  </si>
  <si>
    <t>Smart Card, Certificate Authority (CA) and OS Training</t>
  </si>
  <si>
    <t>AI for Office Productivity training</t>
  </si>
  <si>
    <t>AI Chatbot Training</t>
  </si>
  <si>
    <t>TalentCorp</t>
  </si>
  <si>
    <t>Software Development Capability Programme  (5d) training</t>
  </si>
  <si>
    <t>Software Development Capability Programme  (2d) training</t>
  </si>
  <si>
    <t>Unit Perancang Ekonomi Negeri Selangor (UPEN)</t>
  </si>
  <si>
    <t>MASTIC (MOSTI)</t>
  </si>
  <si>
    <t xml:space="preserve">DENSO Philipine </t>
  </si>
  <si>
    <t>Semiconductor Training</t>
  </si>
  <si>
    <t>IPC Certification</t>
  </si>
  <si>
    <t>KPJ Healthcare</t>
  </si>
  <si>
    <t xml:space="preserve">Intan </t>
  </si>
  <si>
    <t>PO based on MA KPI</t>
  </si>
  <si>
    <t> </t>
  </si>
  <si>
    <t>Total Funnel</t>
  </si>
  <si>
    <t>YTD Weighted Pipeline (Included PO)</t>
  </si>
  <si>
    <t xml:space="preserve">Contract/PO signed </t>
  </si>
  <si>
    <t xml:space="preserve">Private Sector </t>
  </si>
  <si>
    <t xml:space="preserve">% of Private sector </t>
  </si>
  <si>
    <t>Invoiced</t>
  </si>
  <si>
    <t>Balance weighted funnel</t>
  </si>
  <si>
    <t>Funnel Success rate</t>
  </si>
  <si>
    <t>AI-Related Projects/Programme Summary - MIMOS Academy</t>
  </si>
  <si>
    <t>Generated: 18 June 2026</t>
  </si>
  <si>
    <t>Client/Entity</t>
  </si>
  <si>
    <t>Project/Programme</t>
  </si>
  <si>
    <t>Sector</t>
  </si>
  <si>
    <t>AI Public Awareness</t>
  </si>
  <si>
    <t>AI for Apprentice</t>
  </si>
  <si>
    <t>Jabatan Digital</t>
  </si>
  <si>
    <t>Notebooklm &amp; AI System Thinking</t>
  </si>
  <si>
    <t>AI, Data Analytics &amp; Programming (Beginner)</t>
  </si>
  <si>
    <t>AI for Ahli Lembaga</t>
  </si>
  <si>
    <t>═══════════════════════════════════════════════════════════════════</t>
  </si>
  <si>
    <t>SUMMARY - GOVERNMENT AI PROJECTS</t>
  </si>
  <si>
    <t>Metric</t>
  </si>
  <si>
    <t xml:space="preserve">Total </t>
  </si>
  <si>
    <t>Total Government AI Projects</t>
  </si>
  <si>
    <t>Unique Government Entities</t>
  </si>
  <si>
    <t xml:space="preserve">GOVERNMENT ENTITIES LIST </t>
  </si>
  <si>
    <t>Total Unique Government Entities:</t>
  </si>
  <si>
    <t>CHART DATA</t>
  </si>
  <si>
    <t>Entity</t>
  </si>
  <si>
    <t>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</si>
</sst>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M&quot;* #,##0.00_-;\-&quot;RM&quot;* #,##0.00_-;_-&quot;RM&quot;* &quot;-&quot;??_-;_-@_-"/>
    <numFmt numFmtId="43" formatCode="_-* #,##0.00_-;\-* #,##0.00_-;_-* &quot;-&quot;??_-;_-@_-"/>
    <numFmt numFmtId="164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242424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1">
    <xf numFmtId="0" fontId="0" fillId="0" borderId="0" xfId="0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8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wrapText="1"/>
    </xf>
    <xf numFmtId="4" fontId="5" fillId="0" borderId="2" xfId="0" applyNumberFormat="1" applyFont="1" applyBorder="1"/>
    <xf numFmtId="0" fontId="5" fillId="0" borderId="3" xfId="0" applyFont="1" applyBorder="1" applyAlignment="1">
      <alignment horizontal="center" wrapText="1"/>
    </xf>
    <xf numFmtId="4" fontId="5" fillId="0" borderId="3" xfId="0" applyNumberFormat="1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0" borderId="0" xfId="0" applyFont="1"/>
    <xf numFmtId="0" fontId="15" fillId="11" borderId="1" xfId="0" applyFont="1" applyFill="1" applyBorder="1"/>
    <xf numFmtId="0" fontId="0" fillId="0" borderId="1" xfId="0" applyBorder="1"/>
    <xf numFmtId="0" fontId="13" fillId="12" borderId="1" xfId="0" applyFont="1" applyFill="1" applyBorder="1"/>
    <xf numFmtId="0" fontId="18" fillId="0" borderId="0" xfId="0" applyFont="1"/>
    <xf numFmtId="43" fontId="4" fillId="0" borderId="2" xfId="0" applyNumberFormat="1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3" fontId="4" fillId="0" borderId="3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9" fontId="4" fillId="0" borderId="3" xfId="0" applyNumberFormat="1" applyFont="1" applyBorder="1" applyAlignment="1">
      <alignment horizontal="center" vertical="center" wrapText="1"/>
    </xf>
    <xf numFmtId="4" fontId="4" fillId="0" borderId="3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4" fontId="5" fillId="0" borderId="7" xfId="0" applyNumberFormat="1" applyFont="1" applyBorder="1"/>
    <xf numFmtId="9" fontId="4" fillId="0" borderId="7" xfId="0" applyNumberFormat="1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5" fillId="11" borderId="0" xfId="0" applyFont="1" applyFill="1" applyAlignment="1"/>
    <xf numFmtId="0" fontId="14" fillId="0" borderId="0" xfId="0" applyFont="1" applyAlignment="1"/>
    <xf numFmtId="0" fontId="0" fillId="0" borderId="0" xfId="0" applyAlignment="1"/>
    <xf numFmtId="0" fontId="17" fillId="11" borderId="0" xfId="0" applyFont="1" applyFill="1" applyAlignment="1"/>
    <xf numFmtId="0" fontId="16" fillId="0" borderId="0" xfId="0" applyFont="1" applyAlignment="1"/>
    <xf numFmtId="0" fontId="15" fillId="13" borderId="0" xfId="0" applyFont="1" applyFill="1" applyAlignment="1"/>
    <xf numFmtId="0" fontId="6" fillId="2" borderId="2" xfId="0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left" vertical="center" wrapText="1"/>
    </xf>
    <xf numFmtId="9" fontId="6" fillId="2" borderId="2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43" fontId="4" fillId="0" borderId="2" xfId="0" applyNumberFormat="1" applyFont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9" fontId="4" fillId="0" borderId="2" xfId="0" applyNumberFormat="1" applyFont="1" applyBorder="1" applyAlignment="1">
      <alignment horizontal="left" vertical="center" wrapText="1"/>
    </xf>
    <xf numFmtId="4" fontId="4" fillId="0" borderId="2" xfId="0" applyNumberFormat="1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left" vertical="center" wrapText="1"/>
    </xf>
    <xf numFmtId="44" fontId="7" fillId="9" borderId="2" xfId="1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164" fontId="7" fillId="0" borderId="6" xfId="0" applyNumberFormat="1" applyFont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43" fontId="7" fillId="0" borderId="2" xfId="2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43" fontId="4" fillId="0" borderId="3" xfId="0" applyNumberFormat="1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left" vertical="center" wrapText="1"/>
    </xf>
    <xf numFmtId="4" fontId="4" fillId="0" borderId="3" xfId="0" applyNumberFormat="1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4" fontId="5" fillId="0" borderId="3" xfId="0" applyNumberFormat="1" applyFont="1" applyBorder="1" applyAlignment="1">
      <alignment horizontal="left"/>
    </xf>
    <xf numFmtId="0" fontId="4" fillId="9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wrapText="1"/>
    </xf>
    <xf numFmtId="4" fontId="5" fillId="0" borderId="2" xfId="0" applyNumberFormat="1" applyFont="1" applyBorder="1" applyAlignment="1">
      <alignment horizontal="left"/>
    </xf>
    <xf numFmtId="0" fontId="4" fillId="4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7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4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9" fontId="4" fillId="0" borderId="0" xfId="0" applyNumberFormat="1" applyFont="1" applyAlignment="1">
      <alignment horizontal="left" vertical="center" wrapText="1"/>
    </xf>
    <xf numFmtId="4" fontId="4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43" fontId="8" fillId="3" borderId="0" xfId="1" applyNumberFormat="1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/>
    </xf>
    <xf numFmtId="43" fontId="8" fillId="14" borderId="0" xfId="0" applyNumberFormat="1" applyFont="1" applyFill="1" applyAlignment="1">
      <alignment horizontal="left" vertical="center"/>
    </xf>
    <xf numFmtId="164" fontId="8" fillId="9" borderId="0" xfId="0" applyNumberFormat="1" applyFont="1" applyFill="1" applyAlignment="1">
      <alignment horizontal="left" vertical="center"/>
    </xf>
    <xf numFmtId="43" fontId="8" fillId="0" borderId="0" xfId="0" applyNumberFormat="1" applyFont="1" applyAlignment="1">
      <alignment horizontal="left" vertical="center"/>
    </xf>
    <xf numFmtId="43" fontId="8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5" borderId="0" xfId="0" applyFont="1" applyFill="1" applyAlignment="1">
      <alignment horizontal="left" vertical="center"/>
    </xf>
    <xf numFmtId="43" fontId="7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43" fontId="8" fillId="4" borderId="0" xfId="0" applyNumberFormat="1" applyFont="1" applyFill="1" applyAlignment="1">
      <alignment horizontal="left" vertical="center"/>
    </xf>
    <xf numFmtId="43" fontId="2" fillId="3" borderId="2" xfId="0" applyNumberFormat="1" applyFont="1" applyFill="1" applyBorder="1" applyAlignment="1">
      <alignment horizontal="left" vertical="center"/>
    </xf>
    <xf numFmtId="43" fontId="2" fillId="14" borderId="2" xfId="0" applyNumberFormat="1" applyFont="1" applyFill="1" applyBorder="1" applyAlignment="1">
      <alignment horizontal="left"/>
    </xf>
    <xf numFmtId="4" fontId="2" fillId="9" borderId="3" xfId="0" applyNumberFormat="1" applyFont="1" applyFill="1" applyBorder="1" applyAlignment="1">
      <alignment horizontal="left"/>
    </xf>
    <xf numFmtId="4" fontId="2" fillId="4" borderId="2" xfId="0" applyNumberFormat="1" applyFont="1" applyFill="1" applyBorder="1" applyAlignment="1">
      <alignment horizontal="left"/>
    </xf>
    <xf numFmtId="9" fontId="2" fillId="4" borderId="2" xfId="0" applyNumberFormat="1" applyFont="1" applyFill="1" applyBorder="1" applyAlignment="1">
      <alignment horizontal="left"/>
    </xf>
    <xf numFmtId="4" fontId="9" fillId="10" borderId="0" xfId="0" applyNumberFormat="1" applyFont="1" applyFill="1" applyAlignment="1">
      <alignment horizontal="left"/>
    </xf>
    <xf numFmtId="164" fontId="7" fillId="0" borderId="0" xfId="0" applyNumberFormat="1" applyFont="1" applyAlignment="1">
      <alignment horizontal="left" vertical="center"/>
    </xf>
    <xf numFmtId="164" fontId="2" fillId="0" borderId="2" xfId="0" applyNumberFormat="1" applyFont="1" applyBorder="1" applyAlignment="1">
      <alignment horizontal="left"/>
    </xf>
    <xf numFmtId="164" fontId="7" fillId="0" borderId="0" xfId="0" applyNumberFormat="1" applyFont="1" applyAlignment="1">
      <alignment horizontal="left"/>
    </xf>
    <xf numFmtId="0" fontId="8" fillId="7" borderId="0" xfId="0" applyFont="1" applyFill="1" applyAlignment="1">
      <alignment horizontal="left" vertical="center"/>
    </xf>
    <xf numFmtId="10" fontId="8" fillId="8" borderId="0" xfId="0" applyNumberFormat="1" applyFont="1" applyFill="1" applyAlignment="1">
      <alignment horizontal="left"/>
    </xf>
    <xf numFmtId="9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left" vertical="center" wrapText="1"/>
    </xf>
    <xf numFmtId="9" fontId="10" fillId="0" borderId="0" xfId="0" applyNumberFormat="1" applyFont="1" applyAlignment="1">
      <alignment horizontal="left" vertical="center" wrapText="1"/>
    </xf>
  </cellXfs>
  <cellStyles count="3">
    <cellStyle name="Comma" xfId="2" builtinId="3"/>
    <cellStyle name="Currency 2" xfId="1" xr:uid="{264A0E70-044A-464A-A078-D982F0F8655C}"/>
    <cellStyle name="Normal" xfId="0" builtinId="0"/>
  </cellStyles>
  <dxfs count="0"/>
  <tableStyles count="0" defaultTableStyle="TableStyleMedium9" defaultPivotStyle="PivotStyleLight16"/>
  <colors>
    <mruColors>
      <color rgb="FF9BBB59"/>
      <color rgb="FF00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Government Entities - AI Projects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'AI Projects Summary'!$B$113</c:f>
              <c:strCache>
                <c:ptCount val="1"/>
                <c:pt idx="0">
                  <c:v>Projects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'AI Projects Summary'!$A$114:$A$123</c:f>
              <c:strCache>
                <c:ptCount val="10"/>
                <c:pt idx="0">
                  <c:v>TNB ILSAS</c:v>
                </c:pt>
                <c:pt idx="1">
                  <c:v>NAIO</c:v>
                </c:pt>
                <c:pt idx="2">
                  <c:v>IKMA</c:v>
                </c:pt>
                <c:pt idx="3">
                  <c:v>Ketengah</c:v>
                </c:pt>
                <c:pt idx="4">
                  <c:v>INSKEN</c:v>
                </c:pt>
                <c:pt idx="5">
                  <c:v>MARA</c:v>
                </c:pt>
                <c:pt idx="6">
                  <c:v>MCMC Academy</c:v>
                </c:pt>
                <c:pt idx="7">
                  <c:v>MINDEF</c:v>
                </c:pt>
                <c:pt idx="8">
                  <c:v>TATI</c:v>
                </c:pt>
                <c:pt idx="9">
                  <c:v>Pahang Skills</c:v>
                </c:pt>
              </c:strCache>
            </c:strRef>
          </c:cat>
          <c:val>
            <c:numRef>
              <c:f>'AI Projects Summary'!$B$114:$B$123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7-4B9C-9D27-8D055F5F7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5304071"/>
        <c:axId val="505306631"/>
      </c:barChart>
      <c:catAx>
        <c:axId val="505304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06631"/>
        <c:crosses val="autoZero"/>
        <c:auto val="1"/>
        <c:lblAlgn val="ctr"/>
        <c:lblOffset val="100"/>
        <c:noMultiLvlLbl val="0"/>
      </c:catAx>
      <c:valAx>
        <c:axId val="505306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Projects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04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125</xdr:row>
      <xdr:rowOff>0</xdr:rowOff>
    </xdr:from>
    <xdr:to>
      <xdr:col>6</xdr:col>
      <xdr:colOff>0</xdr:colOff>
      <xdr:row>145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0058B4-FCA0-E179-5DA4-8D168D190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F712-1247-4DF2-A4A4-D4E398A0CC32}">
  <sheetPr filterMode="1">
    <tabColor theme="7" tint="0.59999389629810485"/>
    <pageSetUpPr fitToPage="1"/>
  </sheetPr>
  <dimension ref="A1:X181"/>
  <sheetViews>
    <sheetView tabSelected="1" topLeftCell="B97" workbookViewId="0">
      <selection activeCell="B97" sqref="A1:XFD1048576"/>
    </sheetView>
  </sheetViews>
  <sheetFormatPr defaultColWidth="8.7265625" defaultRowHeight="12.5" x14ac:dyDescent="0.25"/>
  <cols>
    <col min="1" max="1" width="5.453125" style="127" bestFit="1" customWidth="1"/>
    <col min="2" max="2" width="38.90625" style="127" bestFit="1" customWidth="1"/>
    <col min="3" max="3" width="38.54296875" style="127" bestFit="1" customWidth="1"/>
    <col min="4" max="4" width="15.1796875" style="128" bestFit="1" customWidth="1"/>
    <col min="5" max="5" width="21.26953125" style="129" bestFit="1" customWidth="1"/>
    <col min="6" max="6" width="34.6328125" style="127" bestFit="1" customWidth="1"/>
    <col min="7" max="7" width="30" style="127" bestFit="1" customWidth="1"/>
    <col min="8" max="8" width="31.36328125" style="130" bestFit="1" customWidth="1"/>
    <col min="9" max="9" width="19.453125" style="127" bestFit="1" customWidth="1"/>
    <col min="10" max="10" width="22.54296875" style="129" bestFit="1" customWidth="1"/>
    <col min="11" max="11" width="18.81640625" style="127" bestFit="1" customWidth="1"/>
    <col min="12" max="12" width="25.453125" style="58" customWidth="1"/>
    <col min="13" max="16" width="12.7265625" style="58" customWidth="1"/>
    <col min="17" max="17" width="16.453125" style="58" customWidth="1"/>
    <col min="18" max="18" width="12.7265625" style="58" customWidth="1"/>
    <col min="19" max="19" width="19.453125" style="58" customWidth="1"/>
    <col min="20" max="21" width="12.7265625" style="58" customWidth="1"/>
    <col min="22" max="22" width="21" style="58" customWidth="1"/>
    <col min="23" max="23" width="12.7265625" style="58" customWidth="1"/>
    <col min="24" max="16384" width="8.7265625" style="6"/>
  </cols>
  <sheetData>
    <row r="1" spans="1:23" ht="26" x14ac:dyDescent="0.35">
      <c r="A1" s="55" t="s">
        <v>0</v>
      </c>
      <c r="B1" s="55" t="s">
        <v>1</v>
      </c>
      <c r="C1" s="55" t="s">
        <v>2</v>
      </c>
      <c r="D1" s="55" t="s">
        <v>3</v>
      </c>
      <c r="E1" s="56" t="s">
        <v>4</v>
      </c>
      <c r="F1" s="55" t="s">
        <v>5</v>
      </c>
      <c r="G1" s="55" t="s">
        <v>6</v>
      </c>
      <c r="H1" s="57" t="s">
        <v>7</v>
      </c>
      <c r="I1" s="55" t="s">
        <v>8</v>
      </c>
      <c r="J1" s="56" t="s">
        <v>9</v>
      </c>
      <c r="K1" s="55" t="s">
        <v>10</v>
      </c>
    </row>
    <row r="2" spans="1:23" x14ac:dyDescent="0.35">
      <c r="A2" s="59">
        <v>1</v>
      </c>
      <c r="B2" s="59" t="s">
        <v>11</v>
      </c>
      <c r="C2" s="59" t="s">
        <v>12</v>
      </c>
      <c r="D2" s="59" t="s">
        <v>13</v>
      </c>
      <c r="E2" s="60">
        <v>24990</v>
      </c>
      <c r="F2" s="61" t="s">
        <v>14</v>
      </c>
      <c r="G2" s="62" t="s">
        <v>15</v>
      </c>
      <c r="H2" s="63" cm="1">
        <f t="array" ref="H2">_xlfn.SWITCH(F2,"Early engagement", 10%,"Qualified lead/Tender in progress", 30%, "Proposal/tender submitted", 50%,"Negotiation stage", 70%,"Verbal commitment", 85%,"Contract signed/PO Issued", 100%,"Lost/No-Go", 0,"")</f>
        <v>1</v>
      </c>
      <c r="I2" s="64">
        <f>SUM(E2*H2)</f>
        <v>24990</v>
      </c>
      <c r="J2" s="65">
        <v>24990</v>
      </c>
      <c r="K2" s="59" t="s">
        <v>16</v>
      </c>
    </row>
    <row r="3" spans="1:23" s="58" customFormat="1" x14ac:dyDescent="0.35">
      <c r="A3" s="59">
        <v>2</v>
      </c>
      <c r="B3" s="62" t="s">
        <v>17</v>
      </c>
      <c r="C3" s="62" t="s">
        <v>18</v>
      </c>
      <c r="D3" s="59" t="s">
        <v>13</v>
      </c>
      <c r="E3" s="66">
        <v>22680</v>
      </c>
      <c r="F3" s="67" t="s">
        <v>14</v>
      </c>
      <c r="G3" s="62" t="s">
        <v>19</v>
      </c>
      <c r="H3" s="63">
        <v>1</v>
      </c>
      <c r="I3" s="64">
        <f t="shared" ref="I3:I62" si="0">SUM(E3*H3)</f>
        <v>22680</v>
      </c>
      <c r="J3" s="65">
        <v>22680</v>
      </c>
      <c r="K3" s="62" t="s">
        <v>16</v>
      </c>
    </row>
    <row r="4" spans="1:23" s="8" customFormat="1" ht="14.5" hidden="1" x14ac:dyDescent="0.35">
      <c r="A4" s="3">
        <f t="shared" ref="A4:A67" si="1">A3+1</f>
        <v>3</v>
      </c>
      <c r="B4" s="5" t="s">
        <v>17</v>
      </c>
      <c r="C4" s="5" t="s">
        <v>18</v>
      </c>
      <c r="D4" s="3" t="s">
        <v>13</v>
      </c>
      <c r="E4" s="26">
        <v>252000</v>
      </c>
      <c r="F4" s="5" t="s">
        <v>20</v>
      </c>
      <c r="G4" s="5" t="s">
        <v>21</v>
      </c>
      <c r="H4" s="24" cm="1">
        <f t="array" ref="H4">_xlfn.SWITCH(F4,"Early engagement", 10%,"Qualified lead/Tender in progress", 30%, "Proposal/tender submitted", 50%,"Negotiation stage", 70%,"Verbal commitment", 85%,"Contract signed/PO Issued", 100%,"Lost/No-Go", 0,"")</f>
        <v>0.1</v>
      </c>
      <c r="I4" s="25">
        <f t="shared" si="0"/>
        <v>25200</v>
      </c>
      <c r="J4" s="27"/>
      <c r="K4" s="5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s="58" customFormat="1" x14ac:dyDescent="0.35">
      <c r="A5" s="59">
        <f t="shared" si="1"/>
        <v>4</v>
      </c>
      <c r="B5" s="62" t="s">
        <v>22</v>
      </c>
      <c r="C5" s="62" t="s">
        <v>23</v>
      </c>
      <c r="D5" s="59" t="s">
        <v>13</v>
      </c>
      <c r="E5" s="66">
        <v>3000</v>
      </c>
      <c r="F5" s="68" t="s">
        <v>14</v>
      </c>
      <c r="G5" s="62" t="s">
        <v>24</v>
      </c>
      <c r="H5" s="63" cm="1">
        <f t="array" ref="H5">_xlfn.SWITCH(F5,"Early engagement", 10%,"Qualified lead/Tender in progress", 30%, "Proposal/tender submitted", 50%,"Negotiation stage", 70%,"Verbal commitment", 85%,"Contract signed/PO Issued", 100%,"Lost/No-Go", 0,"")</f>
        <v>1</v>
      </c>
      <c r="I5" s="64">
        <f t="shared" si="0"/>
        <v>3000</v>
      </c>
      <c r="J5" s="65">
        <f>I5</f>
        <v>3000</v>
      </c>
      <c r="K5" s="62" t="s">
        <v>25</v>
      </c>
    </row>
    <row r="6" spans="1:23" s="8" customFormat="1" ht="14.5" hidden="1" x14ac:dyDescent="0.35">
      <c r="A6" s="3">
        <f t="shared" si="1"/>
        <v>5</v>
      </c>
      <c r="B6" s="5" t="s">
        <v>26</v>
      </c>
      <c r="C6" s="5" t="s">
        <v>18</v>
      </c>
      <c r="D6" s="3" t="s">
        <v>13</v>
      </c>
      <c r="E6" s="26">
        <f>12000*20</f>
        <v>240000</v>
      </c>
      <c r="F6" s="5" t="s">
        <v>27</v>
      </c>
      <c r="G6" s="5" t="s">
        <v>19</v>
      </c>
      <c r="H6" s="24" cm="1">
        <f t="array" ref="H6">_xlfn.SWITCH(F6,"Early engagement", 10%,"Qualified lead/Tender in progress", 30%, "Proposal/tender submitted", 50%,"Negotiation stage", 70%,"Verbal commitment", 85%,"Contract signed/PO Issued", 100%,"Lost/No-Go", 0,"")</f>
        <v>0.3</v>
      </c>
      <c r="I6" s="25">
        <f t="shared" si="0"/>
        <v>72000</v>
      </c>
      <c r="J6" s="27"/>
      <c r="K6" s="5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s="58" customFormat="1" x14ac:dyDescent="0.35">
      <c r="A7" s="59">
        <f t="shared" si="1"/>
        <v>6</v>
      </c>
      <c r="B7" s="62" t="s">
        <v>26</v>
      </c>
      <c r="C7" s="62" t="s">
        <v>18</v>
      </c>
      <c r="D7" s="59" t="s">
        <v>13</v>
      </c>
      <c r="E7" s="66">
        <v>82000</v>
      </c>
      <c r="F7" s="61" t="s">
        <v>14</v>
      </c>
      <c r="G7" s="62" t="s">
        <v>19</v>
      </c>
      <c r="H7" s="63" cm="1">
        <f t="array" ref="H7">_xlfn.SWITCH(F7,"Early engagement", 10%,"Qualified lead/Tender in progress", 30%, "Proposal/tender submitted", 50%,"Negotiation stage", 70%,"Verbal commitment", 85%,"Contract signed/PO Issued", 100%,"Lost/No-Go", 0,"")</f>
        <v>1</v>
      </c>
      <c r="I7" s="64">
        <f t="shared" si="0"/>
        <v>82000</v>
      </c>
      <c r="J7" s="65">
        <v>82000</v>
      </c>
      <c r="K7" s="62" t="s">
        <v>25</v>
      </c>
    </row>
    <row r="8" spans="1:23" s="58" customFormat="1" x14ac:dyDescent="0.35">
      <c r="A8" s="59">
        <f t="shared" si="1"/>
        <v>7</v>
      </c>
      <c r="B8" s="62" t="s">
        <v>28</v>
      </c>
      <c r="C8" s="62" t="s">
        <v>18</v>
      </c>
      <c r="D8" s="59" t="s">
        <v>13</v>
      </c>
      <c r="E8" s="66">
        <v>21000</v>
      </c>
      <c r="F8" s="61" t="s">
        <v>29</v>
      </c>
      <c r="G8" s="62" t="s">
        <v>19</v>
      </c>
      <c r="H8" s="63" cm="1">
        <f t="array" ref="H8">_xlfn.SWITCH(F8,"Early engagement", 10%,"Qualified lead/Tender in progress", 30%, "Proposal/tender submitted", 50%,"Negotiation stage", 70%,"Verbal commitment", 85%,"Contract signed/PO Issued", 100%,"Lost/No-Go", 0,"")</f>
        <v>0.85</v>
      </c>
      <c r="I8" s="64">
        <f t="shared" si="0"/>
        <v>17850</v>
      </c>
      <c r="J8" s="65"/>
      <c r="K8" s="62"/>
    </row>
    <row r="9" spans="1:23" s="8" customFormat="1" ht="25" hidden="1" x14ac:dyDescent="0.35">
      <c r="A9" s="3">
        <f t="shared" si="1"/>
        <v>8</v>
      </c>
      <c r="B9" s="5" t="s">
        <v>30</v>
      </c>
      <c r="C9" s="5" t="s">
        <v>18</v>
      </c>
      <c r="D9" s="3" t="s">
        <v>13</v>
      </c>
      <c r="E9" s="26">
        <v>21000</v>
      </c>
      <c r="F9" s="5" t="s">
        <v>31</v>
      </c>
      <c r="G9" s="5" t="s">
        <v>24</v>
      </c>
      <c r="H9" s="24" cm="1">
        <f t="array" ref="H9">_xlfn.SWITCH(F9,"Early engagement", 10%,"Qualified lead/Tender in progress", 30%, "Proposal/tender submitted", 50%,"Negotiation stage", 70%,"Verbal commitment", 85%,"Contract signed/PO Issued", 100%,"Lost/No-Go", 0,"")</f>
        <v>0</v>
      </c>
      <c r="I9" s="25">
        <f t="shared" si="0"/>
        <v>0</v>
      </c>
      <c r="J9" s="27"/>
      <c r="K9" s="5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s="8" customFormat="1" ht="14.5" hidden="1" x14ac:dyDescent="0.35">
      <c r="A10" s="3">
        <f t="shared" si="1"/>
        <v>9</v>
      </c>
      <c r="B10" s="5" t="s">
        <v>32</v>
      </c>
      <c r="C10" s="5" t="s">
        <v>18</v>
      </c>
      <c r="D10" s="3" t="s">
        <v>13</v>
      </c>
      <c r="E10" s="26">
        <v>21000</v>
      </c>
      <c r="F10" s="5" t="s">
        <v>27</v>
      </c>
      <c r="G10" s="5" t="s">
        <v>24</v>
      </c>
      <c r="H10" s="24" cm="1">
        <f t="array" ref="H10">_xlfn.SWITCH(F10,"Early engagement", 10%,"Qualified lead/Tender in progress", 30%, "Proposal/tender submitted", 50%,"Negotiation stage", 70%,"Verbal commitment", 85%,"Contract signed/PO Issued", 100%,"Lost/No-Go", 0,"")</f>
        <v>0.3</v>
      </c>
      <c r="I10" s="25">
        <f t="shared" si="0"/>
        <v>6300</v>
      </c>
      <c r="J10" s="27"/>
      <c r="K10" s="5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s="8" customFormat="1" ht="14.5" hidden="1" x14ac:dyDescent="0.35">
      <c r="A11" s="3">
        <f t="shared" si="1"/>
        <v>10</v>
      </c>
      <c r="B11" s="5" t="s">
        <v>33</v>
      </c>
      <c r="C11" s="5" t="s">
        <v>18</v>
      </c>
      <c r="D11" s="3" t="s">
        <v>13</v>
      </c>
      <c r="E11" s="26">
        <v>42000</v>
      </c>
      <c r="F11" s="5" t="s">
        <v>20</v>
      </c>
      <c r="G11" s="5" t="s">
        <v>24</v>
      </c>
      <c r="H11" s="24" cm="1">
        <f t="array" ref="H11">_xlfn.SWITCH(F11,"Early engagement", 10%,"Qualified lead/Tender in progress", 30%, "Proposal/tender submitted", 50%,"Negotiation stage", 70%,"Verbal commitment", 85%,"Contract signed/PO Issued", 100%,"Lost/No-Go", 0,"")</f>
        <v>0.1</v>
      </c>
      <c r="I11" s="25">
        <f t="shared" si="0"/>
        <v>4200</v>
      </c>
      <c r="J11" s="27"/>
      <c r="K11" s="5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s="8" customFormat="1" ht="14.5" hidden="1" x14ac:dyDescent="0.35">
      <c r="A12" s="3">
        <f t="shared" si="1"/>
        <v>11</v>
      </c>
      <c r="B12" s="5" t="s">
        <v>34</v>
      </c>
      <c r="C12" s="5" t="s">
        <v>18</v>
      </c>
      <c r="D12" s="3" t="s">
        <v>13</v>
      </c>
      <c r="E12" s="26">
        <v>21000</v>
      </c>
      <c r="F12" s="5" t="s">
        <v>20</v>
      </c>
      <c r="G12" s="5" t="s">
        <v>24</v>
      </c>
      <c r="H12" s="24" cm="1">
        <f t="array" ref="H12">_xlfn.SWITCH(F12,"Early engagement", 10%,"Qualified lead/Tender in progress", 30%, "Proposal/tender submitted", 50%,"Negotiation stage", 70%,"Verbal commitment", 85%,"Contract signed/PO Issued", 100%,"Lost/No-Go", 0,"")</f>
        <v>0.1</v>
      </c>
      <c r="I12" s="25">
        <f t="shared" si="0"/>
        <v>2100</v>
      </c>
      <c r="J12" s="27"/>
      <c r="K12" s="5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s="8" customFormat="1" ht="14.5" hidden="1" x14ac:dyDescent="0.35">
      <c r="A13" s="3">
        <f t="shared" si="1"/>
        <v>12</v>
      </c>
      <c r="B13" s="5" t="s">
        <v>35</v>
      </c>
      <c r="C13" s="5" t="s">
        <v>18</v>
      </c>
      <c r="D13" s="3" t="s">
        <v>13</v>
      </c>
      <c r="E13" s="26">
        <v>21000</v>
      </c>
      <c r="F13" s="5" t="s">
        <v>20</v>
      </c>
      <c r="G13" s="5" t="s">
        <v>24</v>
      </c>
      <c r="H13" s="24" cm="1">
        <f t="array" ref="H13">_xlfn.SWITCH(F13,"Early engagement", 10%,"Qualified lead/Tender in progress", 30%, "Proposal/tender submitted", 50%,"Negotiation stage", 70%,"Verbal commitment", 85%,"Contract signed/PO Issued", 100%,"Lost/No-Go", 0,"")</f>
        <v>0.1</v>
      </c>
      <c r="I13" s="25">
        <f t="shared" si="0"/>
        <v>2100</v>
      </c>
      <c r="J13" s="27"/>
      <c r="K13" s="5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s="58" customFormat="1" x14ac:dyDescent="0.35">
      <c r="A14" s="59">
        <f t="shared" si="1"/>
        <v>13</v>
      </c>
      <c r="B14" s="62" t="s">
        <v>36</v>
      </c>
      <c r="C14" s="62" t="s">
        <v>18</v>
      </c>
      <c r="D14" s="59" t="s">
        <v>13</v>
      </c>
      <c r="E14" s="66">
        <v>27000</v>
      </c>
      <c r="F14" s="68" t="s">
        <v>14</v>
      </c>
      <c r="G14" s="62" t="s">
        <v>24</v>
      </c>
      <c r="H14" s="63" cm="1">
        <f t="array" ref="H14">_xlfn.SWITCH(F14,"Early engagement", 10%,"Qualified lead/Tender in progress", 30%, "Proposal/tender submitted", 50%,"Negotiation stage", 70%,"Verbal commitment", 85%,"Contract signed/PO Issued", 100%,"Lost/No-Go", 0,"")</f>
        <v>1</v>
      </c>
      <c r="I14" s="64">
        <f t="shared" si="0"/>
        <v>27000</v>
      </c>
      <c r="J14" s="65">
        <v>27000</v>
      </c>
      <c r="K14" s="62" t="s">
        <v>16</v>
      </c>
    </row>
    <row r="15" spans="1:23" s="58" customFormat="1" x14ac:dyDescent="0.35">
      <c r="A15" s="59">
        <f t="shared" si="1"/>
        <v>14</v>
      </c>
      <c r="B15" s="62" t="s">
        <v>36</v>
      </c>
      <c r="C15" s="62" t="s">
        <v>37</v>
      </c>
      <c r="D15" s="59" t="s">
        <v>13</v>
      </c>
      <c r="E15" s="66">
        <v>54000</v>
      </c>
      <c r="F15" s="62" t="s">
        <v>29</v>
      </c>
      <c r="G15" s="62" t="s">
        <v>24</v>
      </c>
      <c r="H15" s="63" cm="1">
        <f t="array" ref="H15">_xlfn.SWITCH(F15,"Early engagement", 10%,"Qualified lead/Tender in progress", 30%, "Proposal/tender submitted", 50%,"Negotiation stage", 70%,"Verbal commitment", 85%,"Contract signed/PO Issued", 100%,"Lost/No-Go", 0,"")</f>
        <v>0.85</v>
      </c>
      <c r="I15" s="64">
        <f t="shared" si="0"/>
        <v>45900</v>
      </c>
      <c r="J15" s="65"/>
      <c r="K15" s="62"/>
    </row>
    <row r="16" spans="1:23" s="8" customFormat="1" ht="14.5" hidden="1" x14ac:dyDescent="0.35">
      <c r="A16" s="3">
        <f t="shared" si="1"/>
        <v>15</v>
      </c>
      <c r="B16" s="5" t="s">
        <v>38</v>
      </c>
      <c r="C16" s="5" t="s">
        <v>39</v>
      </c>
      <c r="D16" s="3" t="s">
        <v>13</v>
      </c>
      <c r="E16" s="26">
        <v>42000</v>
      </c>
      <c r="F16" s="5" t="s">
        <v>31</v>
      </c>
      <c r="G16" s="5" t="s">
        <v>19</v>
      </c>
      <c r="H16" s="24" cm="1">
        <f t="array" ref="H16">_xlfn.SWITCH(F16,"Early engagement", 10%,"Qualified lead/Tender in progress", 30%, "Proposal/tender submitted", 50%,"Negotiation stage", 70%,"Verbal commitment", 85%,"Contract signed/PO Issued", 100%,"Lost/No-Go", 0,"")</f>
        <v>0</v>
      </c>
      <c r="I16" s="25">
        <f t="shared" si="0"/>
        <v>0</v>
      </c>
      <c r="J16" s="27"/>
      <c r="K16" s="5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s="8" customFormat="1" ht="14.5" hidden="1" x14ac:dyDescent="0.35">
      <c r="A17" s="3">
        <f t="shared" si="1"/>
        <v>16</v>
      </c>
      <c r="B17" s="5" t="s">
        <v>40</v>
      </c>
      <c r="C17" s="5" t="s">
        <v>41</v>
      </c>
      <c r="D17" s="3" t="s">
        <v>13</v>
      </c>
      <c r="E17" s="26">
        <v>1990</v>
      </c>
      <c r="F17" s="5" t="s">
        <v>27</v>
      </c>
      <c r="G17" s="5" t="s">
        <v>24</v>
      </c>
      <c r="H17" s="24" cm="1">
        <f t="array" ref="H17">_xlfn.SWITCH(F17,"Early engagement", 10%,"Qualified lead/Tender in progress", 30%, "Proposal/tender submitted", 50%,"Negotiation stage", 70%,"Verbal commitment", 85%,"Contract signed/PO Issued", 100%,"Lost/No-Go", 0,"")</f>
        <v>0.3</v>
      </c>
      <c r="I17" s="25">
        <f t="shared" si="0"/>
        <v>597</v>
      </c>
      <c r="J17" s="27"/>
      <c r="K17" s="5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s="8" customFormat="1" ht="14.5" hidden="1" x14ac:dyDescent="0.35">
      <c r="A18" s="3">
        <f t="shared" si="1"/>
        <v>17</v>
      </c>
      <c r="B18" s="5" t="s">
        <v>42</v>
      </c>
      <c r="C18" s="5" t="s">
        <v>41</v>
      </c>
      <c r="D18" s="3" t="s">
        <v>13</v>
      </c>
      <c r="E18" s="26">
        <v>3980</v>
      </c>
      <c r="F18" s="5" t="s">
        <v>27</v>
      </c>
      <c r="G18" s="5" t="s">
        <v>24</v>
      </c>
      <c r="H18" s="24" cm="1">
        <f t="array" ref="H18">_xlfn.SWITCH(F18,"Early engagement", 10%,"Qualified lead/Tender in progress", 30%, "Proposal/tender submitted", 50%,"Negotiation stage", 70%,"Verbal commitment", 85%,"Contract signed/PO Issued", 100%,"Lost/No-Go", 0,"")</f>
        <v>0.3</v>
      </c>
      <c r="I18" s="25">
        <f t="shared" si="0"/>
        <v>1194</v>
      </c>
      <c r="J18" s="27"/>
      <c r="K18" s="5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s="8" customFormat="1" ht="14.5" hidden="1" x14ac:dyDescent="0.35">
      <c r="A19" s="3">
        <f t="shared" si="1"/>
        <v>18</v>
      </c>
      <c r="B19" s="5" t="s">
        <v>43</v>
      </c>
      <c r="C19" s="5" t="s">
        <v>41</v>
      </c>
      <c r="D19" s="3" t="s">
        <v>13</v>
      </c>
      <c r="E19" s="26">
        <v>1990</v>
      </c>
      <c r="F19" s="5" t="s">
        <v>27</v>
      </c>
      <c r="G19" s="5" t="s">
        <v>24</v>
      </c>
      <c r="H19" s="24" cm="1">
        <f t="array" ref="H19">_xlfn.SWITCH(F19,"Early engagement", 10%,"Qualified lead/Tender in progress", 30%, "Proposal/tender submitted", 50%,"Negotiation stage", 70%,"Verbal commitment", 85%,"Contract signed/PO Issued", 100%,"Lost/No-Go", 0,"")</f>
        <v>0.3</v>
      </c>
      <c r="I19" s="25">
        <f t="shared" si="0"/>
        <v>597</v>
      </c>
      <c r="J19" s="27"/>
      <c r="K19" s="5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s="8" customFormat="1" ht="14.5" hidden="1" x14ac:dyDescent="0.35">
      <c r="A20" s="3">
        <f t="shared" si="1"/>
        <v>19</v>
      </c>
      <c r="B20" s="5" t="s">
        <v>44</v>
      </c>
      <c r="C20" s="5" t="s">
        <v>45</v>
      </c>
      <c r="D20" s="3" t="s">
        <v>13</v>
      </c>
      <c r="E20" s="26">
        <v>5000</v>
      </c>
      <c r="F20" s="5" t="s">
        <v>27</v>
      </c>
      <c r="G20" s="5" t="s">
        <v>24</v>
      </c>
      <c r="H20" s="24" cm="1">
        <f t="array" ref="H20">_xlfn.SWITCH(F20,"Early engagement", 10%,"Qualified lead/Tender in progress", 30%, "Proposal/tender submitted", 50%,"Negotiation stage", 70%,"Verbal commitment", 85%,"Contract signed/PO Issued", 100%,"Lost/No-Go", 0,"")</f>
        <v>0.3</v>
      </c>
      <c r="I20" s="25">
        <f t="shared" si="0"/>
        <v>1500</v>
      </c>
      <c r="J20" s="27"/>
      <c r="K20" s="5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s="70" customFormat="1" ht="14.5" x14ac:dyDescent="0.35">
      <c r="A21" s="59">
        <f t="shared" si="1"/>
        <v>20</v>
      </c>
      <c r="B21" s="62" t="s">
        <v>46</v>
      </c>
      <c r="C21" s="62" t="s">
        <v>47</v>
      </c>
      <c r="D21" s="59" t="s">
        <v>13</v>
      </c>
      <c r="E21" s="66">
        <v>7960</v>
      </c>
      <c r="F21" s="62" t="s">
        <v>48</v>
      </c>
      <c r="G21" s="62" t="s">
        <v>21</v>
      </c>
      <c r="H21" s="63" cm="1">
        <f t="array" ref="H21">_xlfn.SWITCH(F21,"Early engagement", 10%,"Qualified lead/Tender in progress", 30%, "Proposal/tender submitted", 50%,"Negotiation stage", 70%,"Verbal commitment", 85%,"Contract signed/PO Issued", 100%,"Lost/No-Go", 0,"")</f>
        <v>0.7</v>
      </c>
      <c r="I21" s="64">
        <f t="shared" si="0"/>
        <v>5572</v>
      </c>
      <c r="J21" s="65"/>
      <c r="K21" s="62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</row>
    <row r="22" spans="1:23" s="1" customFormat="1" hidden="1" x14ac:dyDescent="0.35">
      <c r="A22" s="3">
        <f t="shared" si="1"/>
        <v>21</v>
      </c>
      <c r="B22" s="5" t="s">
        <v>49</v>
      </c>
      <c r="C22" s="5" t="s">
        <v>50</v>
      </c>
      <c r="D22" s="3" t="s">
        <v>13</v>
      </c>
      <c r="E22" s="26">
        <v>21000</v>
      </c>
      <c r="F22" s="5" t="s">
        <v>31</v>
      </c>
      <c r="G22" s="5" t="s">
        <v>24</v>
      </c>
      <c r="H22" s="24" cm="1">
        <f t="array" ref="H22">_xlfn.SWITCH(F22,"Early engagement", 10%,"Qualified lead/Tender in progress", 30%, "Proposal/tender submitted", 50%,"Negotiation stage", 70%,"Verbal commitment", 85%,"Contract signed/PO Issued", 100%,"Lost/No-Go", 0,"")</f>
        <v>0</v>
      </c>
      <c r="I22" s="25">
        <f t="shared" si="0"/>
        <v>0</v>
      </c>
      <c r="J22" s="27"/>
      <c r="K22" s="5"/>
    </row>
    <row r="23" spans="1:23" s="1" customFormat="1" hidden="1" x14ac:dyDescent="0.35">
      <c r="A23" s="3">
        <f t="shared" si="1"/>
        <v>22</v>
      </c>
      <c r="B23" s="5" t="s">
        <v>51</v>
      </c>
      <c r="C23" s="5" t="s">
        <v>52</v>
      </c>
      <c r="D23" s="3" t="s">
        <v>13</v>
      </c>
      <c r="E23" s="26">
        <v>50000</v>
      </c>
      <c r="F23" s="5" t="s">
        <v>31</v>
      </c>
      <c r="G23" s="5" t="s">
        <v>24</v>
      </c>
      <c r="H23" s="24" cm="1">
        <f t="array" ref="H23">_xlfn.SWITCH(F23,"Early engagement", 10%,"Qualified lead/Tender in progress", 30%, "Proposal/tender submitted", 50%,"Negotiation stage", 70%,"Verbal commitment", 85%,"Contract signed/PO Issued", 100%,"Lost/No-Go", 0,"")</f>
        <v>0</v>
      </c>
      <c r="I23" s="25">
        <f t="shared" si="0"/>
        <v>0</v>
      </c>
      <c r="J23" s="27"/>
      <c r="K23" s="5"/>
    </row>
    <row r="24" spans="1:23" s="58" customFormat="1" ht="25" x14ac:dyDescent="0.35">
      <c r="A24" s="59">
        <f t="shared" si="1"/>
        <v>23</v>
      </c>
      <c r="B24" s="62" t="s">
        <v>53</v>
      </c>
      <c r="C24" s="62" t="s">
        <v>54</v>
      </c>
      <c r="D24" s="59" t="s">
        <v>13</v>
      </c>
      <c r="E24" s="66">
        <v>369000</v>
      </c>
      <c r="F24" s="68" t="s">
        <v>14</v>
      </c>
      <c r="G24" s="62" t="s">
        <v>19</v>
      </c>
      <c r="H24" s="63" cm="1">
        <f t="array" ref="H24">_xlfn.SWITCH(F24,"Early engagement", 10%,"Qualified lead/Tender in progress", 30%, "Proposal/tender submitted", 50%,"Negotiation stage", 70%,"Verbal commitment", 85%,"Contract signed/PO Issued", 100%,"Lost/No-Go", 0,"")</f>
        <v>1</v>
      </c>
      <c r="I24" s="64">
        <f t="shared" si="0"/>
        <v>369000</v>
      </c>
      <c r="J24" s="65">
        <v>369000</v>
      </c>
      <c r="K24" s="62" t="s">
        <v>16</v>
      </c>
    </row>
    <row r="25" spans="1:23" s="58" customFormat="1" ht="25" x14ac:dyDescent="0.35">
      <c r="A25" s="59">
        <f t="shared" si="1"/>
        <v>24</v>
      </c>
      <c r="B25" s="62" t="s">
        <v>55</v>
      </c>
      <c r="C25" s="62" t="s">
        <v>56</v>
      </c>
      <c r="D25" s="59" t="s">
        <v>13</v>
      </c>
      <c r="E25" s="66">
        <v>100000</v>
      </c>
      <c r="F25" s="68" t="s">
        <v>14</v>
      </c>
      <c r="G25" s="62" t="s">
        <v>24</v>
      </c>
      <c r="H25" s="63" cm="1">
        <f t="array" ref="H25">_xlfn.SWITCH(F25,"Early engagement", 10%,"Qualified lead/Tender in progress", 30%, "Proposal/tender submitted", 50%,"Negotiation stage", 70%,"Verbal commitment", 85%,"Contract signed/PO Issued", 100%,"Lost/No-Go", 0,"")</f>
        <v>1</v>
      </c>
      <c r="I25" s="64">
        <f t="shared" si="0"/>
        <v>100000</v>
      </c>
      <c r="J25" s="65">
        <v>100000</v>
      </c>
      <c r="K25" s="62" t="s">
        <v>25</v>
      </c>
    </row>
    <row r="26" spans="1:23" s="8" customFormat="1" ht="14.5" hidden="1" x14ac:dyDescent="0.35">
      <c r="A26" s="3">
        <f t="shared" si="1"/>
        <v>25</v>
      </c>
      <c r="B26" s="5" t="s">
        <v>57</v>
      </c>
      <c r="C26" s="5" t="s">
        <v>58</v>
      </c>
      <c r="D26" s="3" t="s">
        <v>13</v>
      </c>
      <c r="E26" s="26">
        <v>240000</v>
      </c>
      <c r="F26" s="5" t="s">
        <v>27</v>
      </c>
      <c r="G26" s="5" t="s">
        <v>24</v>
      </c>
      <c r="H26" s="24" cm="1">
        <f t="array" ref="H26">_xlfn.SWITCH(F26,"Early engagement", 10%,"Qualified lead/Tender in progress", 30%, "Proposal/tender submitted", 50%,"Negotiation stage", 70%,"Verbal commitment", 85%,"Contract signed/PO Issued", 100%,"Lost/No-Go", 0,"")</f>
        <v>0.3</v>
      </c>
      <c r="I26" s="25">
        <f t="shared" si="0"/>
        <v>72000</v>
      </c>
      <c r="J26" s="27"/>
      <c r="K26" s="5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s="58" customFormat="1" ht="25" x14ac:dyDescent="0.35">
      <c r="A27" s="59">
        <f t="shared" si="1"/>
        <v>26</v>
      </c>
      <c r="B27" s="62" t="s">
        <v>59</v>
      </c>
      <c r="C27" s="62" t="s">
        <v>60</v>
      </c>
      <c r="D27" s="59" t="s">
        <v>13</v>
      </c>
      <c r="E27" s="66">
        <v>700000</v>
      </c>
      <c r="F27" s="62" t="s">
        <v>61</v>
      </c>
      <c r="G27" s="62" t="s">
        <v>24</v>
      </c>
      <c r="H27" s="63" cm="1">
        <f t="array" ref="H27">_xlfn.SWITCH(F27,"Early engagement", 10%,"Qualified lead/Tender in progress", 30%, "Proposal/tender submitted", 50%,"Negotiation stage", 70%,"Verbal commitment", 85%,"Contract signed/PO Issued", 100%,"Lost/No-Go", 0,"")</f>
        <v>0.5</v>
      </c>
      <c r="I27" s="64">
        <f t="shared" si="0"/>
        <v>350000</v>
      </c>
      <c r="J27" s="65"/>
      <c r="K27" s="62"/>
    </row>
    <row r="28" spans="1:23" s="58" customFormat="1" x14ac:dyDescent="0.35">
      <c r="A28" s="59">
        <f t="shared" si="1"/>
        <v>27</v>
      </c>
      <c r="B28" s="62" t="s">
        <v>62</v>
      </c>
      <c r="C28" s="62" t="s">
        <v>63</v>
      </c>
      <c r="D28" s="59" t="s">
        <v>13</v>
      </c>
      <c r="E28" s="66">
        <v>250000</v>
      </c>
      <c r="F28" s="62" t="s">
        <v>48</v>
      </c>
      <c r="G28" s="62" t="s">
        <v>19</v>
      </c>
      <c r="H28" s="63" cm="1">
        <f t="array" ref="H28">_xlfn.SWITCH(F28,"Early engagement", 10%,"Qualified lead/Tender in progress", 30%, "Proposal/tender submitted", 50%,"Negotiation stage", 70%,"Verbal commitment", 85%,"Contract signed/PO Issued", 100%,"Lost/No-Go", 0,"")</f>
        <v>0.7</v>
      </c>
      <c r="I28" s="64">
        <f t="shared" si="0"/>
        <v>175000</v>
      </c>
      <c r="J28" s="65"/>
      <c r="K28" s="62"/>
    </row>
    <row r="29" spans="1:23" s="58" customFormat="1" x14ac:dyDescent="0.35">
      <c r="A29" s="59">
        <f t="shared" si="1"/>
        <v>28</v>
      </c>
      <c r="B29" s="62" t="s">
        <v>64</v>
      </c>
      <c r="C29" s="62" t="s">
        <v>23</v>
      </c>
      <c r="D29" s="59" t="s">
        <v>13</v>
      </c>
      <c r="E29" s="66">
        <v>75000</v>
      </c>
      <c r="F29" s="62" t="s">
        <v>61</v>
      </c>
      <c r="G29" s="62" t="s">
        <v>19</v>
      </c>
      <c r="H29" s="63" cm="1">
        <f t="array" ref="H29">_xlfn.SWITCH(F29,"Early engagement", 10%,"Qualified lead/Tender in progress", 30%, "Proposal/tender submitted", 50%,"Negotiation stage", 70%,"Verbal commitment", 85%,"Contract signed/PO Issued", 100%,"Lost/No-Go", 0,"")</f>
        <v>0.5</v>
      </c>
      <c r="I29" s="64">
        <f t="shared" si="0"/>
        <v>37500</v>
      </c>
      <c r="J29" s="65"/>
      <c r="K29" s="62"/>
    </row>
    <row r="30" spans="1:23" s="58" customFormat="1" x14ac:dyDescent="0.35">
      <c r="A30" s="59">
        <f t="shared" si="1"/>
        <v>29</v>
      </c>
      <c r="B30" s="62" t="s">
        <v>64</v>
      </c>
      <c r="C30" s="62" t="s">
        <v>65</v>
      </c>
      <c r="D30" s="59" t="s">
        <v>13</v>
      </c>
      <c r="E30" s="66">
        <v>64000</v>
      </c>
      <c r="F30" s="62" t="s">
        <v>61</v>
      </c>
      <c r="G30" s="62" t="s">
        <v>24</v>
      </c>
      <c r="H30" s="63" cm="1">
        <f t="array" ref="H30">_xlfn.SWITCH(F30,"Early engagement", 10%,"Qualified lead/Tender in progress", 30%, "Proposal/tender submitted", 50%,"Negotiation stage", 70%,"Verbal commitment", 85%,"Contract signed/PO Issued", 100%,"Lost/No-Go", 0,"")</f>
        <v>0.5</v>
      </c>
      <c r="I30" s="64">
        <f t="shared" si="0"/>
        <v>32000</v>
      </c>
      <c r="J30" s="65"/>
      <c r="K30" s="62"/>
    </row>
    <row r="31" spans="1:23" s="58" customFormat="1" x14ac:dyDescent="0.35">
      <c r="A31" s="59">
        <f t="shared" si="1"/>
        <v>30</v>
      </c>
      <c r="B31" s="62" t="s">
        <v>66</v>
      </c>
      <c r="C31" s="62" t="s">
        <v>65</v>
      </c>
      <c r="D31" s="59" t="s">
        <v>13</v>
      </c>
      <c r="E31" s="66">
        <v>16000</v>
      </c>
      <c r="F31" s="62" t="s">
        <v>61</v>
      </c>
      <c r="G31" s="62" t="s">
        <v>24</v>
      </c>
      <c r="H31" s="63" cm="1">
        <f t="array" ref="H31">_xlfn.SWITCH(F31,"Early engagement", 10%,"Qualified lead/Tender in progress", 30%, "Proposal/tender submitted", 50%,"Negotiation stage", 70%,"Verbal commitment", 85%,"Contract signed/PO Issued", 100%,"Lost/No-Go", 0,"")</f>
        <v>0.5</v>
      </c>
      <c r="I31" s="64">
        <f t="shared" si="0"/>
        <v>8000</v>
      </c>
      <c r="J31" s="65"/>
      <c r="K31" s="62"/>
    </row>
    <row r="32" spans="1:23" s="58" customFormat="1" x14ac:dyDescent="0.35">
      <c r="A32" s="59">
        <f t="shared" si="1"/>
        <v>31</v>
      </c>
      <c r="B32" s="62" t="s">
        <v>67</v>
      </c>
      <c r="C32" s="62" t="s">
        <v>68</v>
      </c>
      <c r="D32" s="59" t="s">
        <v>13</v>
      </c>
      <c r="E32" s="66">
        <v>49990</v>
      </c>
      <c r="F32" s="68" t="s">
        <v>14</v>
      </c>
      <c r="G32" s="62" t="s">
        <v>24</v>
      </c>
      <c r="H32" s="63" cm="1">
        <f t="array" ref="H32">_xlfn.SWITCH(F32,"Early engagement", 10%,"Qualified lead/Tender in progress", 30%, "Proposal/tender submitted", 50%,"Negotiation stage", 70%,"Verbal commitment", 85%,"Contract signed/PO Issued", 100%,"Lost/No-Go", 0,"")</f>
        <v>1</v>
      </c>
      <c r="I32" s="64">
        <f t="shared" si="0"/>
        <v>49990</v>
      </c>
      <c r="J32" s="65">
        <f>I32</f>
        <v>49990</v>
      </c>
      <c r="K32" s="62" t="s">
        <v>16</v>
      </c>
    </row>
    <row r="33" spans="1:23" s="58" customFormat="1" x14ac:dyDescent="0.35">
      <c r="A33" s="59">
        <f t="shared" si="1"/>
        <v>32</v>
      </c>
      <c r="B33" s="62" t="s">
        <v>67</v>
      </c>
      <c r="C33" s="62" t="s">
        <v>69</v>
      </c>
      <c r="D33" s="59" t="s">
        <v>13</v>
      </c>
      <c r="E33" s="66">
        <v>33000</v>
      </c>
      <c r="F33" s="61" t="s">
        <v>14</v>
      </c>
      <c r="G33" s="62" t="s">
        <v>19</v>
      </c>
      <c r="H33" s="63" cm="1">
        <f t="array" ref="H33">_xlfn.SWITCH(F33,"Early engagement", 10%,"Qualified lead/Tender in progress", 30%, "Proposal/tender submitted", 50%,"Negotiation stage", 70%,"Verbal commitment", 85%,"Contract signed/PO Issued", 100%,"Lost/No-Go", 0,"")</f>
        <v>1</v>
      </c>
      <c r="I33" s="64">
        <f t="shared" si="0"/>
        <v>33000</v>
      </c>
      <c r="J33" s="65">
        <v>33000</v>
      </c>
      <c r="K33" s="62" t="s">
        <v>16</v>
      </c>
    </row>
    <row r="34" spans="1:23" s="58" customFormat="1" x14ac:dyDescent="0.35">
      <c r="A34" s="59">
        <f t="shared" si="1"/>
        <v>33</v>
      </c>
      <c r="B34" s="62" t="s">
        <v>70</v>
      </c>
      <c r="C34" s="62" t="s">
        <v>71</v>
      </c>
      <c r="D34" s="59" t="s">
        <v>13</v>
      </c>
      <c r="E34" s="66">
        <v>3000</v>
      </c>
      <c r="F34" s="68" t="s">
        <v>14</v>
      </c>
      <c r="G34" s="62" t="s">
        <v>24</v>
      </c>
      <c r="H34" s="63" cm="1">
        <f t="array" ref="H34">_xlfn.SWITCH(F34,"Early engagement", 10%,"Qualified lead/Tender in progress", 30%, "Proposal/tender submitted", 50%,"Negotiation stage", 70%,"Verbal commitment", 85%,"Contract signed/PO Issued", 100%,"Lost/No-Go", 0,"")</f>
        <v>1</v>
      </c>
      <c r="I34" s="64">
        <f t="shared" si="0"/>
        <v>3000</v>
      </c>
      <c r="J34" s="65">
        <f>I34</f>
        <v>3000</v>
      </c>
      <c r="K34" s="62" t="s">
        <v>25</v>
      </c>
    </row>
    <row r="35" spans="1:23" s="58" customFormat="1" x14ac:dyDescent="0.35">
      <c r="A35" s="59">
        <f t="shared" si="1"/>
        <v>34</v>
      </c>
      <c r="B35" s="62" t="s">
        <v>72</v>
      </c>
      <c r="C35" s="62" t="s">
        <v>65</v>
      </c>
      <c r="D35" s="59" t="s">
        <v>13</v>
      </c>
      <c r="E35" s="66">
        <v>21000</v>
      </c>
      <c r="F35" s="62" t="s">
        <v>61</v>
      </c>
      <c r="G35" s="62" t="s">
        <v>19</v>
      </c>
      <c r="H35" s="63" cm="1">
        <f t="array" ref="H35">_xlfn.SWITCH(F35,"Early engagement", 10%,"Qualified lead/Tender in progress", 30%, "Proposal/tender submitted", 50%,"Negotiation stage", 70%,"Verbal commitment", 85%,"Contract signed/PO Issued", 100%,"Lost/No-Go", 0,"")</f>
        <v>0.5</v>
      </c>
      <c r="I35" s="64">
        <f t="shared" si="0"/>
        <v>10500</v>
      </c>
      <c r="J35" s="65"/>
      <c r="K35" s="62"/>
    </row>
    <row r="36" spans="1:23" s="8" customFormat="1" ht="14.5" hidden="1" x14ac:dyDescent="0.35">
      <c r="A36" s="3">
        <f t="shared" si="1"/>
        <v>35</v>
      </c>
      <c r="B36" s="5" t="s">
        <v>73</v>
      </c>
      <c r="C36" s="5" t="s">
        <v>74</v>
      </c>
      <c r="D36" s="3" t="s">
        <v>13</v>
      </c>
      <c r="E36" s="26">
        <v>300000</v>
      </c>
      <c r="F36" s="5" t="s">
        <v>31</v>
      </c>
      <c r="G36" s="5" t="s">
        <v>24</v>
      </c>
      <c r="H36" s="24" cm="1">
        <f t="array" ref="H36">_xlfn.SWITCH(F36,"Early engagement", 10%,"Qualified lead/Tender in progress", 30%, "Proposal/tender submitted", 50%,"Negotiation stage", 70%,"Verbal commitment", 85%,"Contract signed/PO Issued", 100%,"Lost/No-Go", 0,"")</f>
        <v>0</v>
      </c>
      <c r="I36" s="25">
        <f t="shared" si="0"/>
        <v>0</v>
      </c>
      <c r="J36" s="27"/>
      <c r="K36" s="5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s="8" customFormat="1" ht="14.5" hidden="1" x14ac:dyDescent="0.35">
      <c r="A37" s="3">
        <f t="shared" si="1"/>
        <v>36</v>
      </c>
      <c r="B37" s="5" t="s">
        <v>75</v>
      </c>
      <c r="C37" s="5" t="s">
        <v>76</v>
      </c>
      <c r="D37" s="3" t="s">
        <v>13</v>
      </c>
      <c r="E37" s="26">
        <v>96000</v>
      </c>
      <c r="F37" s="5" t="s">
        <v>31</v>
      </c>
      <c r="G37" s="5" t="s">
        <v>24</v>
      </c>
      <c r="H37" s="24" cm="1">
        <f t="array" ref="H37">_xlfn.SWITCH(F37,"Early engagement", 10%,"Qualified lead/Tender in progress", 30%, "Proposal/tender submitted", 50%,"Negotiation stage", 70%,"Verbal commitment", 85%,"Contract signed/PO Issued", 100%,"Lost/No-Go", 0,"")</f>
        <v>0</v>
      </c>
      <c r="I37" s="25">
        <f t="shared" si="0"/>
        <v>0</v>
      </c>
      <c r="J37" s="27"/>
      <c r="K37" s="5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 s="58" customFormat="1" x14ac:dyDescent="0.35">
      <c r="A38" s="59">
        <f t="shared" si="1"/>
        <v>37</v>
      </c>
      <c r="B38" s="62" t="s">
        <v>77</v>
      </c>
      <c r="C38" s="62" t="s">
        <v>78</v>
      </c>
      <c r="D38" s="59" t="s">
        <v>13</v>
      </c>
      <c r="E38" s="66">
        <v>21000</v>
      </c>
      <c r="F38" s="62" t="s">
        <v>61</v>
      </c>
      <c r="G38" s="62" t="s">
        <v>24</v>
      </c>
      <c r="H38" s="63" cm="1">
        <f t="array" ref="H38">_xlfn.SWITCH(F38,"Early engagement", 10%,"Qualified lead/Tender in progress", 30%, "Proposal/tender submitted", 50%,"Negotiation stage", 70%,"Verbal commitment", 85%,"Contract signed/PO Issued", 100%,"Lost/No-Go", 0,"")</f>
        <v>0.5</v>
      </c>
      <c r="I38" s="64">
        <f t="shared" si="0"/>
        <v>10500</v>
      </c>
      <c r="J38" s="65"/>
      <c r="K38" s="62"/>
    </row>
    <row r="39" spans="1:23" s="8" customFormat="1" ht="14.5" hidden="1" x14ac:dyDescent="0.35">
      <c r="A39" s="3">
        <f t="shared" si="1"/>
        <v>38</v>
      </c>
      <c r="B39" s="5" t="s">
        <v>79</v>
      </c>
      <c r="C39" s="5" t="s">
        <v>80</v>
      </c>
      <c r="D39" s="3" t="s">
        <v>13</v>
      </c>
      <c r="E39" s="26">
        <v>100000</v>
      </c>
      <c r="F39" s="5" t="s">
        <v>20</v>
      </c>
      <c r="G39" s="5" t="s">
        <v>19</v>
      </c>
      <c r="H39" s="24" cm="1">
        <f t="array" ref="H39">_xlfn.SWITCH(F39,"Early engagement", 10%,"Qualified lead/Tender in progress", 30%, "Proposal/tender submitted", 50%,"Negotiation stage", 70%,"Verbal commitment", 85%,"Contract signed/PO Issued", 100%,"Lost/No-Go", 0,"")</f>
        <v>0.1</v>
      </c>
      <c r="I39" s="25">
        <f t="shared" si="0"/>
        <v>10000</v>
      </c>
      <c r="J39" s="27"/>
      <c r="K39" s="5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 s="58" customFormat="1" x14ac:dyDescent="0.35">
      <c r="A40" s="59">
        <f t="shared" si="1"/>
        <v>39</v>
      </c>
      <c r="B40" s="62" t="s">
        <v>81</v>
      </c>
      <c r="C40" s="62" t="s">
        <v>23</v>
      </c>
      <c r="D40" s="59" t="s">
        <v>13</v>
      </c>
      <c r="E40" s="66">
        <v>48000</v>
      </c>
      <c r="F40" s="61" t="s">
        <v>14</v>
      </c>
      <c r="G40" s="62" t="s">
        <v>19</v>
      </c>
      <c r="H40" s="63" cm="1">
        <f t="array" ref="H40">_xlfn.SWITCH(F40,"Early engagement", 10%,"Qualified lead/Tender in progress", 30%, "Proposal/tender submitted", 50%,"Negotiation stage", 70%,"Verbal commitment", 85%,"Contract signed/PO Issued", 100%,"Lost/No-Go", 0,"")</f>
        <v>1</v>
      </c>
      <c r="I40" s="64">
        <f t="shared" si="0"/>
        <v>48000</v>
      </c>
      <c r="J40" s="65">
        <v>48000</v>
      </c>
      <c r="K40" s="62" t="s">
        <v>16</v>
      </c>
    </row>
    <row r="41" spans="1:23" s="8" customFormat="1" ht="14.5" hidden="1" x14ac:dyDescent="0.35">
      <c r="A41" s="3">
        <f t="shared" si="1"/>
        <v>40</v>
      </c>
      <c r="B41" s="5" t="s">
        <v>82</v>
      </c>
      <c r="C41" s="5" t="s">
        <v>80</v>
      </c>
      <c r="D41" s="3" t="s">
        <v>13</v>
      </c>
      <c r="E41" s="26">
        <v>21000</v>
      </c>
      <c r="F41" s="5" t="s">
        <v>27</v>
      </c>
      <c r="G41" s="5" t="s">
        <v>24</v>
      </c>
      <c r="H41" s="24" cm="1">
        <f t="array" ref="H41">_xlfn.SWITCH(F41,"Early engagement", 10%,"Qualified lead/Tender in progress", 30%, "Proposal/tender submitted", 50%,"Negotiation stage", 70%,"Verbal commitment", 85%,"Contract signed/PO Issued", 100%,"Lost/No-Go", 0,"")</f>
        <v>0.3</v>
      </c>
      <c r="I41" s="25">
        <f t="shared" si="0"/>
        <v>6300</v>
      </c>
      <c r="J41" s="27"/>
      <c r="K41" s="5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s="58" customFormat="1" x14ac:dyDescent="0.35">
      <c r="A42" s="59">
        <f t="shared" si="1"/>
        <v>41</v>
      </c>
      <c r="B42" s="62" t="s">
        <v>83</v>
      </c>
      <c r="C42" s="62" t="s">
        <v>71</v>
      </c>
      <c r="D42" s="59" t="s">
        <v>13</v>
      </c>
      <c r="E42" s="66">
        <v>49750</v>
      </c>
      <c r="F42" s="62" t="s">
        <v>48</v>
      </c>
      <c r="G42" s="62" t="s">
        <v>19</v>
      </c>
      <c r="H42" s="63" cm="1">
        <f t="array" ref="H42">_xlfn.SWITCH(F42,"Early engagement", 10%,"Qualified lead/Tender in progress", 30%, "Proposal/tender submitted", 50%,"Negotiation stage", 70%,"Verbal commitment", 85%,"Contract signed/PO Issued", 100%,"Lost/No-Go", 0,"")</f>
        <v>0.7</v>
      </c>
      <c r="I42" s="64">
        <f t="shared" si="0"/>
        <v>34825</v>
      </c>
      <c r="J42" s="65"/>
      <c r="K42" s="62"/>
    </row>
    <row r="43" spans="1:23" s="58" customFormat="1" x14ac:dyDescent="0.35">
      <c r="A43" s="59">
        <f t="shared" si="1"/>
        <v>42</v>
      </c>
      <c r="B43" s="62" t="s">
        <v>84</v>
      </c>
      <c r="C43" s="62" t="s">
        <v>85</v>
      </c>
      <c r="D43" s="59" t="s">
        <v>13</v>
      </c>
      <c r="E43" s="66">
        <v>47800</v>
      </c>
      <c r="F43" s="68" t="s">
        <v>14</v>
      </c>
      <c r="G43" s="62" t="s">
        <v>24</v>
      </c>
      <c r="H43" s="63" cm="1">
        <f t="array" ref="H43">_xlfn.SWITCH(F43,"Early engagement", 10%,"Qualified lead/Tender in progress", 30%, "Proposal/tender submitted", 50%,"Negotiation stage", 70%,"Verbal commitment", 85%,"Contract signed/PO Issued", 100%,"Lost/No-Go", 0,"")</f>
        <v>1</v>
      </c>
      <c r="I43" s="64">
        <f t="shared" si="0"/>
        <v>47800</v>
      </c>
      <c r="J43" s="65">
        <f>I43</f>
        <v>47800</v>
      </c>
      <c r="K43" s="62" t="s">
        <v>86</v>
      </c>
    </row>
    <row r="44" spans="1:23" s="58" customFormat="1" ht="50" x14ac:dyDescent="0.35">
      <c r="A44" s="59">
        <f t="shared" si="1"/>
        <v>43</v>
      </c>
      <c r="B44" s="62" t="s">
        <v>87</v>
      </c>
      <c r="C44" s="62" t="s">
        <v>88</v>
      </c>
      <c r="D44" s="59" t="s">
        <v>13</v>
      </c>
      <c r="E44" s="66">
        <v>20999</v>
      </c>
      <c r="F44" s="68" t="s">
        <v>14</v>
      </c>
      <c r="G44" s="62" t="s">
        <v>15</v>
      </c>
      <c r="H44" s="63" cm="1">
        <f t="array" ref="H44">_xlfn.SWITCH(F44,"Early engagement", 10%,"Qualified lead/Tender in progress", 30%, "Proposal/tender submitted", 50%,"Negotiation stage", 70%,"Verbal commitment", 85%,"Contract signed/PO Issued", 100%,"Lost/No-Go", 0,"")</f>
        <v>1</v>
      </c>
      <c r="I44" s="64">
        <f t="shared" si="0"/>
        <v>20999</v>
      </c>
      <c r="J44" s="65">
        <f>I44</f>
        <v>20999</v>
      </c>
      <c r="K44" s="62" t="s">
        <v>89</v>
      </c>
    </row>
    <row r="45" spans="1:23" s="8" customFormat="1" ht="14.5" hidden="1" x14ac:dyDescent="0.35">
      <c r="A45" s="3">
        <f t="shared" si="1"/>
        <v>44</v>
      </c>
      <c r="B45" s="5" t="s">
        <v>90</v>
      </c>
      <c r="C45" s="5" t="s">
        <v>91</v>
      </c>
      <c r="D45" s="3" t="s">
        <v>13</v>
      </c>
      <c r="E45" s="26">
        <v>5000</v>
      </c>
      <c r="F45" s="5" t="s">
        <v>20</v>
      </c>
      <c r="G45" s="5" t="s">
        <v>24</v>
      </c>
      <c r="H45" s="24" cm="1">
        <f t="array" ref="H45">_xlfn.SWITCH(F45,"Early engagement", 10%,"Qualified lead/Tender in progress", 30%, "Proposal/tender submitted", 50%,"Negotiation stage", 70%,"Verbal commitment", 85%,"Contract signed/PO Issued", 100%,"Lost/No-Go", 0,"")</f>
        <v>0.1</v>
      </c>
      <c r="I45" s="25">
        <f t="shared" si="0"/>
        <v>500</v>
      </c>
      <c r="J45" s="27"/>
      <c r="K45" s="5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s="70" customFormat="1" ht="25" x14ac:dyDescent="0.35">
      <c r="A46" s="59">
        <f t="shared" si="1"/>
        <v>45</v>
      </c>
      <c r="B46" s="62" t="s">
        <v>92</v>
      </c>
      <c r="C46" s="62" t="s">
        <v>93</v>
      </c>
      <c r="D46" s="59" t="s">
        <v>13</v>
      </c>
      <c r="E46" s="66">
        <v>94500</v>
      </c>
      <c r="F46" s="62" t="s">
        <v>48</v>
      </c>
      <c r="G46" s="62" t="s">
        <v>19</v>
      </c>
      <c r="H46" s="63" cm="1">
        <f t="array" ref="H46">_xlfn.SWITCH(F46,"Early engagement", 10%,"Qualified lead/Tender in progress", 30%, "Proposal/tender submitted", 50%,"Negotiation stage", 70%,"Verbal commitment", 85%,"Contract signed/PO Issued", 100%,"Lost/No-Go", 0,"")</f>
        <v>0.7</v>
      </c>
      <c r="I46" s="64">
        <f t="shared" si="0"/>
        <v>66150</v>
      </c>
      <c r="J46" s="65"/>
      <c r="K46" s="62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</row>
    <row r="47" spans="1:23" s="8" customFormat="1" ht="14.5" hidden="1" x14ac:dyDescent="0.35">
      <c r="A47" s="3">
        <f t="shared" si="1"/>
        <v>46</v>
      </c>
      <c r="B47" s="5" t="s">
        <v>94</v>
      </c>
      <c r="C47" s="5" t="s">
        <v>95</v>
      </c>
      <c r="D47" s="3" t="s">
        <v>13</v>
      </c>
      <c r="E47" s="26">
        <v>250000</v>
      </c>
      <c r="F47" s="5" t="s">
        <v>27</v>
      </c>
      <c r="G47" s="5" t="s">
        <v>24</v>
      </c>
      <c r="H47" s="24" cm="1">
        <f t="array" ref="H47">_xlfn.SWITCH(F47,"Early engagement", 10%,"Qualified lead/Tender in progress", 30%, "Proposal/tender submitted", 50%,"Negotiation stage", 70%,"Verbal commitment", 85%,"Contract signed/PO Issued", 100%,"Lost/No-Go", 0,"")</f>
        <v>0.3</v>
      </c>
      <c r="I47" s="25">
        <f t="shared" si="0"/>
        <v>75000</v>
      </c>
      <c r="J47" s="27"/>
      <c r="K47" s="5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 s="8" customFormat="1" ht="14.5" hidden="1" x14ac:dyDescent="0.35">
      <c r="A48" s="3">
        <f t="shared" si="1"/>
        <v>47</v>
      </c>
      <c r="B48" s="5" t="s">
        <v>96</v>
      </c>
      <c r="C48" s="5" t="s">
        <v>97</v>
      </c>
      <c r="D48" s="3" t="s">
        <v>13</v>
      </c>
      <c r="E48" s="26">
        <v>271000</v>
      </c>
      <c r="F48" s="5" t="s">
        <v>27</v>
      </c>
      <c r="G48" s="5" t="s">
        <v>19</v>
      </c>
      <c r="H48" s="24" cm="1">
        <f t="array" ref="H48">_xlfn.SWITCH(F48,"Early engagement", 10%,"Qualified lead/Tender in progress", 30%, "Proposal/tender submitted", 50%,"Negotiation stage", 70%,"Verbal commitment", 85%,"Contract signed/PO Issued", 100%,"Lost/No-Go", 0,"")</f>
        <v>0.3</v>
      </c>
      <c r="I48" s="25">
        <f t="shared" si="0"/>
        <v>81300</v>
      </c>
      <c r="J48" s="27"/>
      <c r="K48" s="5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s="8" customFormat="1" ht="14.5" hidden="1" x14ac:dyDescent="0.35">
      <c r="A49" s="3">
        <f t="shared" si="1"/>
        <v>48</v>
      </c>
      <c r="B49" s="5" t="s">
        <v>98</v>
      </c>
      <c r="C49" s="5" t="s">
        <v>99</v>
      </c>
      <c r="D49" s="3" t="s">
        <v>13</v>
      </c>
      <c r="E49" s="26">
        <v>73500</v>
      </c>
      <c r="F49" s="5" t="s">
        <v>31</v>
      </c>
      <c r="G49" s="5" t="s">
        <v>24</v>
      </c>
      <c r="H49" s="24" cm="1">
        <f t="array" ref="H49">_xlfn.SWITCH(F49,"Early engagement", 10%,"Qualified lead/Tender in progress", 30%, "Proposal/tender submitted", 50%,"Negotiation stage", 70%,"Verbal commitment", 85%,"Contract signed/PO Issued", 100%,"Lost/No-Go", 0,"")</f>
        <v>0</v>
      </c>
      <c r="I49" s="25">
        <f t="shared" si="0"/>
        <v>0</v>
      </c>
      <c r="J49" s="27"/>
      <c r="K49" s="5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s="8" customFormat="1" ht="14.5" hidden="1" x14ac:dyDescent="0.35">
      <c r="A50" s="3">
        <f t="shared" si="1"/>
        <v>49</v>
      </c>
      <c r="B50" s="5" t="s">
        <v>100</v>
      </c>
      <c r="C50" s="5" t="s">
        <v>101</v>
      </c>
      <c r="D50" s="3" t="s">
        <v>13</v>
      </c>
      <c r="E50" s="26">
        <v>21000</v>
      </c>
      <c r="F50" s="5" t="s">
        <v>20</v>
      </c>
      <c r="G50" s="5" t="s">
        <v>19</v>
      </c>
      <c r="H50" s="24" cm="1">
        <f t="array" ref="H50">_xlfn.SWITCH(F50,"Early engagement", 10%,"Qualified lead/Tender in progress", 30%, "Proposal/tender submitted", 50%,"Negotiation stage", 70%,"Verbal commitment", 85%,"Contract signed/PO Issued", 100%,"Lost/No-Go", 0,"")</f>
        <v>0.1</v>
      </c>
      <c r="I50" s="25">
        <f t="shared" si="0"/>
        <v>2100</v>
      </c>
      <c r="J50" s="27"/>
      <c r="K50" s="5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s="8" customFormat="1" ht="14.5" hidden="1" x14ac:dyDescent="0.35">
      <c r="A51" s="3">
        <f t="shared" si="1"/>
        <v>50</v>
      </c>
      <c r="B51" s="5" t="s">
        <v>102</v>
      </c>
      <c r="C51" s="5" t="s">
        <v>103</v>
      </c>
      <c r="D51" s="3" t="s">
        <v>13</v>
      </c>
      <c r="E51" s="26"/>
      <c r="F51" s="5" t="s">
        <v>31</v>
      </c>
      <c r="G51" s="5" t="s">
        <v>24</v>
      </c>
      <c r="H51" s="24" cm="1">
        <f t="array" ref="H51">_xlfn.SWITCH(F51,"Early engagement", 10%,"Qualified lead/Tender in progress", 30%, "Proposal/tender submitted", 50%,"Negotiation stage", 70%,"Verbal commitment", 85%,"Contract signed/PO Issued", 100%,"Lost/No-Go", 0,"")</f>
        <v>0</v>
      </c>
      <c r="I51" s="25">
        <f t="shared" si="0"/>
        <v>0</v>
      </c>
      <c r="J51" s="27"/>
      <c r="K51" s="5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s="8" customFormat="1" ht="14.5" hidden="1" x14ac:dyDescent="0.35">
      <c r="A52" s="3">
        <f t="shared" si="1"/>
        <v>51</v>
      </c>
      <c r="B52" s="5" t="s">
        <v>104</v>
      </c>
      <c r="C52" s="5" t="s">
        <v>105</v>
      </c>
      <c r="D52" s="3" t="s">
        <v>13</v>
      </c>
      <c r="E52" s="26">
        <v>2950000</v>
      </c>
      <c r="F52" s="5" t="s">
        <v>31</v>
      </c>
      <c r="G52" s="5" t="s">
        <v>24</v>
      </c>
      <c r="H52" s="24" cm="1">
        <f t="array" ref="H52">_xlfn.SWITCH(F52,"Early engagement", 10%,"Qualified lead/Tender in progress", 30%, "Proposal/tender submitted", 50%,"Negotiation stage", 70%,"Verbal commitment", 85%,"Contract signed/PO Issued", 100%,"Lost/No-Go", 0,"")</f>
        <v>0</v>
      </c>
      <c r="I52" s="25">
        <f t="shared" si="0"/>
        <v>0</v>
      </c>
      <c r="J52" s="27"/>
      <c r="K52" s="5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s="1" customFormat="1" hidden="1" x14ac:dyDescent="0.35">
      <c r="A53" s="3">
        <f t="shared" si="1"/>
        <v>52</v>
      </c>
      <c r="B53" s="5" t="s">
        <v>106</v>
      </c>
      <c r="C53" s="5" t="s">
        <v>18</v>
      </c>
      <c r="D53" s="3" t="s">
        <v>13</v>
      </c>
      <c r="E53" s="26">
        <v>20000</v>
      </c>
      <c r="F53" s="5" t="s">
        <v>27</v>
      </c>
      <c r="G53" s="5" t="s">
        <v>24</v>
      </c>
      <c r="H53" s="24" cm="1">
        <f t="array" ref="H53">_xlfn.SWITCH(F53,"Early engagement", 10%,"Qualified lead/Tender in progress", 30%, "Proposal/tender submitted", 50%,"Negotiation stage", 70%,"Verbal commitment", 85%,"Contract signed/PO Issued", 100%,"Lost/No-Go", 0,"")</f>
        <v>0.3</v>
      </c>
      <c r="I53" s="25">
        <f t="shared" si="0"/>
        <v>6000</v>
      </c>
      <c r="J53" s="27"/>
      <c r="K53" s="5"/>
    </row>
    <row r="54" spans="1:23" s="58" customFormat="1" x14ac:dyDescent="0.35">
      <c r="A54" s="59">
        <f t="shared" si="1"/>
        <v>53</v>
      </c>
      <c r="B54" s="62" t="s">
        <v>107</v>
      </c>
      <c r="C54" s="62" t="s">
        <v>108</v>
      </c>
      <c r="D54" s="59" t="s">
        <v>13</v>
      </c>
      <c r="E54" s="66">
        <v>24990</v>
      </c>
      <c r="F54" s="68" t="s">
        <v>14</v>
      </c>
      <c r="G54" s="62" t="s">
        <v>24</v>
      </c>
      <c r="H54" s="63" cm="1">
        <f t="array" ref="H54">_xlfn.SWITCH(F54,"Early engagement", 10%,"Qualified lead/Tender in progress", 30%, "Proposal/tender submitted", 50%,"Negotiation stage", 70%,"Verbal commitment", 85%,"Contract signed/PO Issued", 100%,"Lost/No-Go", 0,"")</f>
        <v>1</v>
      </c>
      <c r="I54" s="64">
        <f t="shared" si="0"/>
        <v>24990</v>
      </c>
      <c r="J54" s="65">
        <f>I54</f>
        <v>24990</v>
      </c>
      <c r="K54" s="62" t="s">
        <v>16</v>
      </c>
    </row>
    <row r="55" spans="1:23" s="58" customFormat="1" x14ac:dyDescent="0.35">
      <c r="A55" s="59">
        <f t="shared" si="1"/>
        <v>54</v>
      </c>
      <c r="B55" s="62" t="s">
        <v>109</v>
      </c>
      <c r="C55" s="62" t="s">
        <v>110</v>
      </c>
      <c r="D55" s="59" t="s">
        <v>13</v>
      </c>
      <c r="E55" s="66">
        <v>34000</v>
      </c>
      <c r="F55" s="68" t="s">
        <v>14</v>
      </c>
      <c r="G55" s="62" t="s">
        <v>24</v>
      </c>
      <c r="H55" s="63" cm="1">
        <f t="array" ref="H55">_xlfn.SWITCH(F55,"Early engagement", 10%,"Qualified lead/Tender in progress", 30%, "Proposal/tender submitted", 50%,"Negotiation stage", 70%,"Verbal commitment", 85%,"Contract signed/PO Issued", 100%,"Lost/No-Go", 0,"")</f>
        <v>1</v>
      </c>
      <c r="I55" s="64">
        <f t="shared" si="0"/>
        <v>34000</v>
      </c>
      <c r="J55" s="65">
        <v>34000</v>
      </c>
      <c r="K55" s="62" t="s">
        <v>16</v>
      </c>
    </row>
    <row r="56" spans="1:23" s="8" customFormat="1" ht="14.5" hidden="1" x14ac:dyDescent="0.35">
      <c r="A56" s="3">
        <f t="shared" si="1"/>
        <v>55</v>
      </c>
      <c r="B56" s="5" t="s">
        <v>111</v>
      </c>
      <c r="C56" s="5" t="s">
        <v>112</v>
      </c>
      <c r="D56" s="3" t="s">
        <v>13</v>
      </c>
      <c r="E56" s="26">
        <v>55000</v>
      </c>
      <c r="F56" s="5" t="s">
        <v>27</v>
      </c>
      <c r="G56" s="5" t="s">
        <v>24</v>
      </c>
      <c r="H56" s="24" cm="1">
        <f t="array" ref="H56">_xlfn.SWITCH(F56,"Early engagement", 10%,"Qualified lead/Tender in progress", 30%, "Proposal/tender submitted", 50%,"Negotiation stage", 70%,"Verbal commitment", 85%,"Contract signed/PO Issued", 100%,"Lost/No-Go", 0,"")</f>
        <v>0.3</v>
      </c>
      <c r="I56" s="25">
        <f t="shared" si="0"/>
        <v>16500</v>
      </c>
      <c r="J56" s="27"/>
      <c r="K56" s="5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s="58" customFormat="1" x14ac:dyDescent="0.35">
      <c r="A57" s="59">
        <f t="shared" si="1"/>
        <v>56</v>
      </c>
      <c r="B57" s="62" t="s">
        <v>62</v>
      </c>
      <c r="C57" s="62" t="s">
        <v>113</v>
      </c>
      <c r="D57" s="59" t="s">
        <v>13</v>
      </c>
      <c r="E57" s="66">
        <v>600000</v>
      </c>
      <c r="F57" s="62" t="s">
        <v>61</v>
      </c>
      <c r="G57" s="62" t="s">
        <v>24</v>
      </c>
      <c r="H57" s="63" cm="1">
        <f t="array" ref="H57">_xlfn.SWITCH(F57,"Early engagement", 10%,"Qualified lead/Tender in progress", 30%, "Proposal/tender submitted", 50%,"Negotiation stage", 70%,"Verbal commitment", 85%,"Contract signed/PO Issued", 100%,"Lost/No-Go", 0,"")</f>
        <v>0.5</v>
      </c>
      <c r="I57" s="64">
        <f t="shared" si="0"/>
        <v>300000</v>
      </c>
      <c r="J57" s="65"/>
      <c r="K57" s="62"/>
    </row>
    <row r="58" spans="1:23" s="8" customFormat="1" ht="14.5" hidden="1" x14ac:dyDescent="0.35">
      <c r="A58" s="3">
        <f t="shared" si="1"/>
        <v>57</v>
      </c>
      <c r="B58" s="5" t="s">
        <v>114</v>
      </c>
      <c r="C58" s="5" t="s">
        <v>18</v>
      </c>
      <c r="D58" s="3" t="s">
        <v>13</v>
      </c>
      <c r="E58" s="26">
        <v>24000</v>
      </c>
      <c r="F58" s="5" t="s">
        <v>27</v>
      </c>
      <c r="G58" s="5" t="s">
        <v>19</v>
      </c>
      <c r="H58" s="24" cm="1">
        <f t="array" ref="H58">_xlfn.SWITCH(F58,"Early engagement", 10%,"Qualified lead/Tender in progress", 30%, "Proposal/tender submitted", 50%,"Negotiation stage", 70%,"Verbal commitment", 85%,"Contract signed/PO Issued", 100%,"Lost/No-Go", 0,"")</f>
        <v>0.3</v>
      </c>
      <c r="I58" s="25">
        <f t="shared" si="0"/>
        <v>7200</v>
      </c>
      <c r="J58" s="27"/>
      <c r="K58" s="5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s="58" customFormat="1" x14ac:dyDescent="0.35">
      <c r="A59" s="59">
        <f t="shared" si="1"/>
        <v>58</v>
      </c>
      <c r="B59" s="62" t="s">
        <v>62</v>
      </c>
      <c r="C59" s="62" t="s">
        <v>115</v>
      </c>
      <c r="D59" s="59" t="s">
        <v>13</v>
      </c>
      <c r="E59" s="66">
        <v>150000</v>
      </c>
      <c r="F59" s="62" t="s">
        <v>61</v>
      </c>
      <c r="G59" s="62" t="s">
        <v>21</v>
      </c>
      <c r="H59" s="63" cm="1">
        <f t="array" ref="H59">_xlfn.SWITCH(F59,"Early engagement", 10%,"Qualified lead/Tender in progress", 30%, "Proposal/tender submitted", 50%,"Negotiation stage", 70%,"Verbal commitment", 85%,"Contract signed/PO Issued", 100%,"Lost/No-Go", 0,"")</f>
        <v>0.5</v>
      </c>
      <c r="I59" s="64">
        <f t="shared" si="0"/>
        <v>75000</v>
      </c>
      <c r="J59" s="65"/>
      <c r="K59" s="62"/>
    </row>
    <row r="60" spans="1:23" s="58" customFormat="1" x14ac:dyDescent="0.35">
      <c r="A60" s="59">
        <f t="shared" si="1"/>
        <v>59</v>
      </c>
      <c r="B60" s="62" t="s">
        <v>116</v>
      </c>
      <c r="C60" s="62" t="s">
        <v>80</v>
      </c>
      <c r="D60" s="59" t="s">
        <v>13</v>
      </c>
      <c r="E60" s="66">
        <v>21000</v>
      </c>
      <c r="F60" s="68" t="s">
        <v>14</v>
      </c>
      <c r="G60" s="62" t="s">
        <v>24</v>
      </c>
      <c r="H60" s="63" cm="1">
        <f t="array" ref="H60">_xlfn.SWITCH(F60,"Early engagement", 10%,"Qualified lead/Tender in progress", 30%, "Proposal/tender submitted", 50%,"Negotiation stage", 70%,"Verbal commitment", 85%,"Contract signed/PO Issued", 100%,"Lost/No-Go", 0,"")</f>
        <v>1</v>
      </c>
      <c r="I60" s="64">
        <f t="shared" si="0"/>
        <v>21000</v>
      </c>
      <c r="J60" s="65">
        <v>21000</v>
      </c>
      <c r="K60" s="62" t="s">
        <v>16</v>
      </c>
    </row>
    <row r="61" spans="1:23" s="58" customFormat="1" x14ac:dyDescent="0.35">
      <c r="A61" s="59">
        <f t="shared" si="1"/>
        <v>60</v>
      </c>
      <c r="B61" s="62" t="s">
        <v>117</v>
      </c>
      <c r="C61" s="62" t="s">
        <v>23</v>
      </c>
      <c r="D61" s="59" t="s">
        <v>13</v>
      </c>
      <c r="E61" s="66">
        <v>10000</v>
      </c>
      <c r="F61" s="61" t="s">
        <v>14</v>
      </c>
      <c r="G61" s="62" t="s">
        <v>24</v>
      </c>
      <c r="H61" s="63" cm="1">
        <f t="array" ref="H61">_xlfn.SWITCH(F61,"Early engagement", 10%,"Qualified lead/Tender in progress", 30%, "Proposal/tender submitted", 50%,"Negotiation stage", 70%,"Verbal commitment", 85%,"Contract signed/PO Issued", 100%,"Lost/No-Go", 0,"")</f>
        <v>1</v>
      </c>
      <c r="I61" s="64">
        <f t="shared" si="0"/>
        <v>10000</v>
      </c>
      <c r="J61" s="65">
        <v>10000</v>
      </c>
      <c r="K61" s="62" t="s">
        <v>25</v>
      </c>
    </row>
    <row r="62" spans="1:23" s="58" customFormat="1" x14ac:dyDescent="0.35">
      <c r="A62" s="59">
        <f t="shared" si="1"/>
        <v>61</v>
      </c>
      <c r="B62" s="62" t="s">
        <v>117</v>
      </c>
      <c r="C62" s="62" t="s">
        <v>18</v>
      </c>
      <c r="D62" s="59" t="s">
        <v>13</v>
      </c>
      <c r="E62" s="66">
        <v>21000</v>
      </c>
      <c r="F62" s="62" t="s">
        <v>29</v>
      </c>
      <c r="G62" s="62" t="s">
        <v>19</v>
      </c>
      <c r="H62" s="63" cm="1">
        <f t="array" ref="H62">_xlfn.SWITCH(F62,"Early engagement", 10%,"Qualified lead/Tender in progress", 30%, "Proposal/tender submitted", 50%,"Negotiation stage", 70%,"Verbal commitment", 85%,"Contract signed/PO Issued", 100%,"Lost/No-Go", 0,"")</f>
        <v>0.85</v>
      </c>
      <c r="I62" s="64">
        <f t="shared" si="0"/>
        <v>17850</v>
      </c>
      <c r="J62" s="65"/>
      <c r="K62" s="62"/>
    </row>
    <row r="63" spans="1:23" s="58" customFormat="1" x14ac:dyDescent="0.35">
      <c r="A63" s="59">
        <f t="shared" si="1"/>
        <v>62</v>
      </c>
      <c r="B63" s="62" t="s">
        <v>118</v>
      </c>
      <c r="C63" s="62" t="s">
        <v>18</v>
      </c>
      <c r="D63" s="59" t="s">
        <v>13</v>
      </c>
      <c r="E63" s="66">
        <v>21000</v>
      </c>
      <c r="F63" s="62" t="s">
        <v>29</v>
      </c>
      <c r="G63" s="62" t="s">
        <v>19</v>
      </c>
      <c r="H63" s="63" cm="1">
        <f t="array" ref="H63">_xlfn.SWITCH(F63,"Early engagement", 10%,"Qualified lead/Tender in progress", 30%, "Proposal/tender submitted", 50%,"Negotiation stage", 70%,"Verbal commitment", 85%,"Contract signed/PO Issued", 100%,"Lost/No-Go", 0,"")</f>
        <v>0.85</v>
      </c>
      <c r="I63" s="64">
        <f t="shared" ref="I63:I123" si="2">SUM(E63*H63)</f>
        <v>17850</v>
      </c>
      <c r="J63" s="65"/>
      <c r="K63" s="62"/>
    </row>
    <row r="64" spans="1:23" s="58" customFormat="1" x14ac:dyDescent="0.35">
      <c r="A64" s="59">
        <f t="shared" si="1"/>
        <v>63</v>
      </c>
      <c r="B64" s="62" t="s">
        <v>119</v>
      </c>
      <c r="C64" s="62" t="s">
        <v>23</v>
      </c>
      <c r="D64" s="59" t="s">
        <v>13</v>
      </c>
      <c r="E64" s="66">
        <v>15000</v>
      </c>
      <c r="F64" s="62" t="s">
        <v>29</v>
      </c>
      <c r="G64" s="62" t="s">
        <v>24</v>
      </c>
      <c r="H64" s="63" cm="1">
        <f t="array" ref="H64">_xlfn.SWITCH(F64,"Early engagement", 10%,"Qualified lead/Tender in progress", 30%, "Proposal/tender submitted", 50%,"Negotiation stage", 70%,"Verbal commitment", 85%,"Contract signed/PO Issued", 100%,"Lost/No-Go", 0,"")</f>
        <v>0.85</v>
      </c>
      <c r="I64" s="64">
        <f t="shared" si="2"/>
        <v>12750</v>
      </c>
      <c r="J64" s="65"/>
      <c r="K64" s="62"/>
    </row>
    <row r="65" spans="1:11" s="58" customFormat="1" x14ac:dyDescent="0.35">
      <c r="A65" s="59">
        <f t="shared" si="1"/>
        <v>64</v>
      </c>
      <c r="B65" s="62" t="s">
        <v>120</v>
      </c>
      <c r="C65" s="62" t="s">
        <v>121</v>
      </c>
      <c r="D65" s="59" t="s">
        <v>13</v>
      </c>
      <c r="E65" s="66">
        <v>45000</v>
      </c>
      <c r="F65" s="62" t="s">
        <v>61</v>
      </c>
      <c r="G65" s="62" t="s">
        <v>19</v>
      </c>
      <c r="H65" s="63" cm="1">
        <f t="array" ref="H65">_xlfn.SWITCH(F65,"Early engagement", 10%,"Qualified lead/Tender in progress", 30%, "Proposal/tender submitted", 50%,"Negotiation stage", 70%,"Verbal commitment", 85%,"Contract signed/PO Issued", 100%,"Lost/No-Go", 0,"")</f>
        <v>0.5</v>
      </c>
      <c r="I65" s="64">
        <f t="shared" si="2"/>
        <v>22500</v>
      </c>
      <c r="J65" s="65"/>
      <c r="K65" s="62" t="s">
        <v>25</v>
      </c>
    </row>
    <row r="66" spans="1:11" s="58" customFormat="1" x14ac:dyDescent="0.35">
      <c r="A66" s="59">
        <f t="shared" si="1"/>
        <v>65</v>
      </c>
      <c r="B66" s="62" t="s">
        <v>120</v>
      </c>
      <c r="C66" s="62" t="s">
        <v>122</v>
      </c>
      <c r="D66" s="59" t="s">
        <v>13</v>
      </c>
      <c r="E66" s="66">
        <v>36000</v>
      </c>
      <c r="F66" s="62" t="s">
        <v>61</v>
      </c>
      <c r="G66" s="62" t="s">
        <v>19</v>
      </c>
      <c r="H66" s="63" cm="1">
        <f t="array" ref="H66">_xlfn.SWITCH(F66,"Early engagement", 10%,"Qualified lead/Tender in progress", 30%, "Proposal/tender submitted", 50%,"Negotiation stage", 70%,"Verbal commitment", 85%,"Contract signed/PO Issued", 100%,"Lost/No-Go", 0,"")</f>
        <v>0.5</v>
      </c>
      <c r="I66" s="64">
        <f t="shared" si="2"/>
        <v>18000</v>
      </c>
      <c r="J66" s="65"/>
      <c r="K66" s="62" t="s">
        <v>25</v>
      </c>
    </row>
    <row r="67" spans="1:11" s="58" customFormat="1" x14ac:dyDescent="0.35">
      <c r="A67" s="59">
        <f t="shared" si="1"/>
        <v>66</v>
      </c>
      <c r="B67" s="62" t="s">
        <v>120</v>
      </c>
      <c r="C67" s="62" t="s">
        <v>123</v>
      </c>
      <c r="D67" s="59" t="s">
        <v>13</v>
      </c>
      <c r="E67" s="66">
        <v>36000</v>
      </c>
      <c r="F67" s="62" t="s">
        <v>61</v>
      </c>
      <c r="G67" s="62" t="s">
        <v>19</v>
      </c>
      <c r="H67" s="63" cm="1">
        <f t="array" ref="H67">_xlfn.SWITCH(F67,"Early engagement", 10%,"Qualified lead/Tender in progress", 30%, "Proposal/tender submitted", 50%,"Negotiation stage", 70%,"Verbal commitment", 85%,"Contract signed/PO Issued", 100%,"Lost/No-Go", 0,"")</f>
        <v>0.5</v>
      </c>
      <c r="I67" s="64">
        <f t="shared" si="2"/>
        <v>18000</v>
      </c>
      <c r="J67" s="65"/>
      <c r="K67" s="62" t="s">
        <v>25</v>
      </c>
    </row>
    <row r="68" spans="1:11" s="58" customFormat="1" x14ac:dyDescent="0.35">
      <c r="A68" s="59">
        <f t="shared" ref="A68:A83" si="3">A67+1</f>
        <v>67</v>
      </c>
      <c r="B68" s="62" t="s">
        <v>124</v>
      </c>
      <c r="C68" s="62" t="s">
        <v>80</v>
      </c>
      <c r="D68" s="59" t="s">
        <v>13</v>
      </c>
      <c r="E68" s="66">
        <v>21000</v>
      </c>
      <c r="F68" s="62" t="s">
        <v>61</v>
      </c>
      <c r="G68" s="62" t="s">
        <v>19</v>
      </c>
      <c r="H68" s="63" cm="1">
        <f t="array" ref="H68">_xlfn.SWITCH(F68,"Early engagement", 10%,"Qualified lead/Tender in progress", 30%, "Proposal/tender submitted", 50%,"Negotiation stage", 70%,"Verbal commitment", 85%,"Contract signed/PO Issued", 100%,"Lost/No-Go", 0,"")</f>
        <v>0.5</v>
      </c>
      <c r="I68" s="64">
        <f t="shared" si="2"/>
        <v>10500</v>
      </c>
      <c r="J68" s="65"/>
      <c r="K68" s="62"/>
    </row>
    <row r="69" spans="1:11" s="58" customFormat="1" x14ac:dyDescent="0.35">
      <c r="A69" s="59">
        <f t="shared" si="3"/>
        <v>68</v>
      </c>
      <c r="B69" s="62" t="s">
        <v>125</v>
      </c>
      <c r="C69" s="62" t="s">
        <v>80</v>
      </c>
      <c r="D69" s="59" t="s">
        <v>13</v>
      </c>
      <c r="E69" s="66">
        <v>21000</v>
      </c>
      <c r="F69" s="62" t="s">
        <v>61</v>
      </c>
      <c r="G69" s="62" t="s">
        <v>19</v>
      </c>
      <c r="H69" s="63" cm="1">
        <f t="array" ref="H69">_xlfn.SWITCH(F69,"Early engagement", 10%,"Qualified lead/Tender in progress", 30%, "Proposal/tender submitted", 50%,"Negotiation stage", 70%,"Verbal commitment", 85%,"Contract signed/PO Issued", 100%,"Lost/No-Go", 0,"")</f>
        <v>0.5</v>
      </c>
      <c r="I69" s="64">
        <f t="shared" si="2"/>
        <v>10500</v>
      </c>
      <c r="J69" s="65"/>
      <c r="K69" s="62"/>
    </row>
    <row r="70" spans="1:11" s="58" customFormat="1" x14ac:dyDescent="0.35">
      <c r="A70" s="59">
        <f t="shared" si="3"/>
        <v>69</v>
      </c>
      <c r="B70" s="62" t="s">
        <v>107</v>
      </c>
      <c r="C70" s="62" t="s">
        <v>23</v>
      </c>
      <c r="D70" s="59" t="s">
        <v>13</v>
      </c>
      <c r="E70" s="66">
        <v>108000</v>
      </c>
      <c r="F70" s="62" t="s">
        <v>61</v>
      </c>
      <c r="G70" s="62" t="s">
        <v>21</v>
      </c>
      <c r="H70" s="63" cm="1">
        <f t="array" ref="H70">_xlfn.SWITCH(F70,"Early engagement", 10%,"Qualified lead/Tender in progress", 30%, "Proposal/tender submitted", 50%,"Negotiation stage", 70%,"Verbal commitment", 85%,"Contract signed/PO Issued", 100%,"Lost/No-Go", 0,"")</f>
        <v>0.5</v>
      </c>
      <c r="I70" s="64">
        <f t="shared" si="2"/>
        <v>54000</v>
      </c>
      <c r="J70" s="65"/>
      <c r="K70" s="62"/>
    </row>
    <row r="71" spans="1:11" s="58" customFormat="1" x14ac:dyDescent="0.35">
      <c r="A71" s="59">
        <f t="shared" si="3"/>
        <v>70</v>
      </c>
      <c r="B71" s="62" t="s">
        <v>119</v>
      </c>
      <c r="C71" s="62" t="s">
        <v>126</v>
      </c>
      <c r="D71" s="59" t="s">
        <v>13</v>
      </c>
      <c r="E71" s="66">
        <v>8640</v>
      </c>
      <c r="F71" s="68" t="s">
        <v>14</v>
      </c>
      <c r="G71" s="62" t="s">
        <v>24</v>
      </c>
      <c r="H71" s="63" cm="1">
        <f t="array" ref="H71">_xlfn.SWITCH(F71,"Early engagement", 10%,"Qualified lead/Tender in progress", 30%, "Proposal/tender submitted", 50%,"Negotiation stage", 70%,"Verbal commitment", 85%,"Contract signed/PO Issued", 100%,"Lost/No-Go", 0,"")</f>
        <v>1</v>
      </c>
      <c r="I71" s="64">
        <f t="shared" si="2"/>
        <v>8640</v>
      </c>
      <c r="J71" s="65">
        <f>I71</f>
        <v>8640</v>
      </c>
      <c r="K71" s="62" t="s">
        <v>16</v>
      </c>
    </row>
    <row r="72" spans="1:11" s="58" customFormat="1" x14ac:dyDescent="0.35">
      <c r="A72" s="59">
        <f t="shared" si="3"/>
        <v>71</v>
      </c>
      <c r="B72" s="62" t="s">
        <v>127</v>
      </c>
      <c r="C72" s="62" t="s">
        <v>80</v>
      </c>
      <c r="D72" s="59" t="s">
        <v>13</v>
      </c>
      <c r="E72" s="66">
        <v>25000</v>
      </c>
      <c r="F72" s="62" t="s">
        <v>61</v>
      </c>
      <c r="G72" s="62" t="s">
        <v>21</v>
      </c>
      <c r="H72" s="63" cm="1">
        <f t="array" ref="H72">_xlfn.SWITCH(F72,"Early engagement", 10%,"Qualified lead/Tender in progress", 30%, "Proposal/tender submitted", 50%,"Negotiation stage", 70%,"Verbal commitment", 85%,"Contract signed/PO Issued", 100%,"Lost/No-Go", 0,"")</f>
        <v>0.5</v>
      </c>
      <c r="I72" s="64">
        <f t="shared" si="2"/>
        <v>12500</v>
      </c>
      <c r="J72" s="65"/>
      <c r="K72" s="62"/>
    </row>
    <row r="73" spans="1:11" s="58" customFormat="1" x14ac:dyDescent="0.35">
      <c r="A73" s="59">
        <f t="shared" si="3"/>
        <v>72</v>
      </c>
      <c r="B73" s="62" t="s">
        <v>128</v>
      </c>
      <c r="C73" s="62" t="s">
        <v>80</v>
      </c>
      <c r="D73" s="59" t="s">
        <v>13</v>
      </c>
      <c r="E73" s="66">
        <v>24000</v>
      </c>
      <c r="F73" s="68" t="s">
        <v>14</v>
      </c>
      <c r="G73" s="62" t="s">
        <v>24</v>
      </c>
      <c r="H73" s="63" cm="1">
        <f t="array" ref="H73">_xlfn.SWITCH(F73,"Early engagement", 10%,"Qualified lead/Tender in progress", 30%, "Proposal/tender submitted", 50%,"Negotiation stage", 70%,"Verbal commitment", 85%,"Contract signed/PO Issued", 100%,"Lost/No-Go", 0,"")</f>
        <v>1</v>
      </c>
      <c r="I73" s="64">
        <f t="shared" si="2"/>
        <v>24000</v>
      </c>
      <c r="J73" s="65">
        <v>24000</v>
      </c>
      <c r="K73" s="62" t="s">
        <v>25</v>
      </c>
    </row>
    <row r="74" spans="1:11" s="58" customFormat="1" x14ac:dyDescent="0.35">
      <c r="A74" s="59">
        <f t="shared" si="3"/>
        <v>73</v>
      </c>
      <c r="B74" s="62" t="s">
        <v>129</v>
      </c>
      <c r="C74" s="62" t="s">
        <v>71</v>
      </c>
      <c r="D74" s="59" t="s">
        <v>13</v>
      </c>
      <c r="E74" s="66">
        <v>8970</v>
      </c>
      <c r="F74" s="68" t="s">
        <v>14</v>
      </c>
      <c r="G74" s="62" t="s">
        <v>15</v>
      </c>
      <c r="H74" s="63" cm="1">
        <f t="array" ref="H74">_xlfn.SWITCH(F74,"Early engagement", 10%,"Qualified lead/Tender in progress", 30%, "Proposal/tender submitted", 50%,"Negotiation stage", 70%,"Verbal commitment", 85%,"Contract signed/PO Issued", 100%,"Lost/No-Go", 0,"")</f>
        <v>1</v>
      </c>
      <c r="I74" s="64">
        <f t="shared" si="2"/>
        <v>8970</v>
      </c>
      <c r="J74" s="65">
        <f>I74</f>
        <v>8970</v>
      </c>
      <c r="K74" s="62" t="s">
        <v>25</v>
      </c>
    </row>
    <row r="75" spans="1:11" s="58" customFormat="1" x14ac:dyDescent="0.35">
      <c r="A75" s="59">
        <f t="shared" si="3"/>
        <v>74</v>
      </c>
      <c r="B75" s="62" t="s">
        <v>130</v>
      </c>
      <c r="C75" s="62" t="s">
        <v>71</v>
      </c>
      <c r="D75" s="59" t="s">
        <v>13</v>
      </c>
      <c r="E75" s="66">
        <v>16960</v>
      </c>
      <c r="F75" s="68" t="s">
        <v>14</v>
      </c>
      <c r="G75" s="62" t="s">
        <v>15</v>
      </c>
      <c r="H75" s="63" cm="1">
        <f t="array" ref="H75">_xlfn.SWITCH(F75,"Early engagement", 10%,"Qualified lead/Tender in progress", 30%, "Proposal/tender submitted", 50%,"Negotiation stage", 70%,"Verbal commitment", 85%,"Contract signed/PO Issued", 100%,"Lost/No-Go", 0,"")</f>
        <v>1</v>
      </c>
      <c r="I75" s="64">
        <f t="shared" si="2"/>
        <v>16960</v>
      </c>
      <c r="J75" s="65">
        <f>I75</f>
        <v>16960</v>
      </c>
      <c r="K75" s="62" t="s">
        <v>25</v>
      </c>
    </row>
    <row r="76" spans="1:11" s="58" customFormat="1" x14ac:dyDescent="0.35">
      <c r="A76" s="59">
        <f t="shared" si="3"/>
        <v>75</v>
      </c>
      <c r="B76" s="62" t="s">
        <v>131</v>
      </c>
      <c r="C76" s="62" t="s">
        <v>132</v>
      </c>
      <c r="D76" s="59" t="s">
        <v>13</v>
      </c>
      <c r="E76" s="66">
        <v>9180</v>
      </c>
      <c r="F76" s="68" t="s">
        <v>14</v>
      </c>
      <c r="G76" s="62" t="s">
        <v>15</v>
      </c>
      <c r="H76" s="63" cm="1">
        <f t="array" ref="H76">_xlfn.SWITCH(F76,"Early engagement", 10%,"Qualified lead/Tender in progress", 30%, "Proposal/tender submitted", 50%,"Negotiation stage", 70%,"Verbal commitment", 85%,"Contract signed/PO Issued", 100%,"Lost/No-Go", 0,"")</f>
        <v>1</v>
      </c>
      <c r="I76" s="64">
        <f t="shared" si="2"/>
        <v>9180</v>
      </c>
      <c r="J76" s="65">
        <f>I76</f>
        <v>9180</v>
      </c>
      <c r="K76" s="62" t="s">
        <v>25</v>
      </c>
    </row>
    <row r="77" spans="1:11" s="58" customFormat="1" ht="25" x14ac:dyDescent="0.35">
      <c r="A77" s="59">
        <f t="shared" si="3"/>
        <v>76</v>
      </c>
      <c r="B77" s="62" t="s">
        <v>133</v>
      </c>
      <c r="C77" s="62" t="s">
        <v>134</v>
      </c>
      <c r="D77" s="59" t="s">
        <v>13</v>
      </c>
      <c r="E77" s="66">
        <v>21000</v>
      </c>
      <c r="F77" s="62" t="s">
        <v>29</v>
      </c>
      <c r="G77" s="62" t="s">
        <v>24</v>
      </c>
      <c r="H77" s="63" cm="1">
        <f t="array" ref="H77">_xlfn.SWITCH(F77,"Early engagement", 10%,"Qualified lead/Tender in progress", 30%, "Proposal/tender submitted", 50%,"Negotiation stage", 70%,"Verbal commitment", 85%,"Contract signed/PO Issued", 100%,"Lost/No-Go", 0,"")</f>
        <v>0.85</v>
      </c>
      <c r="I77" s="64">
        <f t="shared" si="2"/>
        <v>17850</v>
      </c>
      <c r="J77" s="65"/>
      <c r="K77" s="62"/>
    </row>
    <row r="78" spans="1:11" s="58" customFormat="1" ht="25" x14ac:dyDescent="0.35">
      <c r="A78" s="59">
        <f t="shared" si="3"/>
        <v>77</v>
      </c>
      <c r="B78" s="62" t="s">
        <v>133</v>
      </c>
      <c r="C78" s="62" t="s">
        <v>135</v>
      </c>
      <c r="D78" s="59" t="s">
        <v>13</v>
      </c>
      <c r="E78" s="66">
        <v>21000</v>
      </c>
      <c r="F78" s="62" t="s">
        <v>29</v>
      </c>
      <c r="G78" s="62" t="s">
        <v>24</v>
      </c>
      <c r="H78" s="63" cm="1">
        <f t="array" ref="H78">_xlfn.SWITCH(F78,"Early engagement", 10%,"Qualified lead/Tender in progress", 30%, "Proposal/tender submitted", 50%,"Negotiation stage", 70%,"Verbal commitment", 85%,"Contract signed/PO Issued", 100%,"Lost/No-Go", 0,"")</f>
        <v>0.85</v>
      </c>
      <c r="I78" s="64">
        <f t="shared" si="2"/>
        <v>17850</v>
      </c>
      <c r="J78" s="65"/>
      <c r="K78" s="62"/>
    </row>
    <row r="79" spans="1:11" s="58" customFormat="1" x14ac:dyDescent="0.35">
      <c r="A79" s="59">
        <f t="shared" si="3"/>
        <v>78</v>
      </c>
      <c r="B79" s="62" t="s">
        <v>136</v>
      </c>
      <c r="C79" s="62" t="s">
        <v>137</v>
      </c>
      <c r="D79" s="59" t="s">
        <v>13</v>
      </c>
      <c r="E79" s="66">
        <v>29650</v>
      </c>
      <c r="F79" s="68" t="s">
        <v>14</v>
      </c>
      <c r="G79" s="62" t="s">
        <v>24</v>
      </c>
      <c r="H79" s="63" cm="1">
        <f t="array" ref="H79">_xlfn.SWITCH(F79,"Early engagement", 10%,"Qualified lead/Tender in progress", 30%, "Proposal/tender submitted", 50%,"Negotiation stage", 70%,"Verbal commitment", 85%,"Contract signed/PO Issued", 100%,"Lost/No-Go", 0,"")</f>
        <v>1</v>
      </c>
      <c r="I79" s="64">
        <f t="shared" si="2"/>
        <v>29650</v>
      </c>
      <c r="J79" s="65">
        <v>29650</v>
      </c>
      <c r="K79" s="62" t="s">
        <v>86</v>
      </c>
    </row>
    <row r="80" spans="1:11" s="58" customFormat="1" x14ac:dyDescent="0.35">
      <c r="A80" s="59">
        <f t="shared" si="3"/>
        <v>79</v>
      </c>
      <c r="B80" s="59" t="s">
        <v>138</v>
      </c>
      <c r="C80" s="59" t="s">
        <v>139</v>
      </c>
      <c r="D80" s="59" t="s">
        <v>13</v>
      </c>
      <c r="E80" s="66">
        <v>10650</v>
      </c>
      <c r="F80" s="68" t="s">
        <v>14</v>
      </c>
      <c r="G80" s="62" t="s">
        <v>24</v>
      </c>
      <c r="H80" s="63" cm="1">
        <f t="array" ref="H80">_xlfn.SWITCH(F80,"Early engagement", 10%,"Qualified lead/Tender in progress", 30%, "Proposal/tender submitted", 50%,"Negotiation stage", 70%,"Verbal commitment", 85%,"Contract signed/PO Issued", 100%,"Lost/No-Go", 0,"")</f>
        <v>1</v>
      </c>
      <c r="I80" s="64">
        <f t="shared" si="2"/>
        <v>10650</v>
      </c>
      <c r="J80" s="65">
        <v>10650</v>
      </c>
      <c r="K80" s="62" t="s">
        <v>86</v>
      </c>
    </row>
    <row r="81" spans="1:23" s="58" customFormat="1" x14ac:dyDescent="0.35">
      <c r="A81" s="59">
        <f t="shared" si="3"/>
        <v>80</v>
      </c>
      <c r="B81" s="59" t="s">
        <v>55</v>
      </c>
      <c r="C81" s="59" t="s">
        <v>140</v>
      </c>
      <c r="D81" s="59" t="s">
        <v>13</v>
      </c>
      <c r="E81" s="66">
        <v>2000</v>
      </c>
      <c r="F81" s="68" t="s">
        <v>14</v>
      </c>
      <c r="G81" s="62" t="s">
        <v>15</v>
      </c>
      <c r="H81" s="63" cm="1">
        <f t="array" ref="H81">_xlfn.SWITCH(F81,"Early engagement", 10%,"Qualified lead/Tender in progress", 30%, "Proposal/tender submitted", 50%,"Negotiation stage", 70%,"Verbal commitment", 85%,"Contract signed/PO Issued", 100%,"Lost/No-Go", 0,"")</f>
        <v>1</v>
      </c>
      <c r="I81" s="64">
        <f t="shared" si="2"/>
        <v>2000</v>
      </c>
      <c r="J81" s="65">
        <v>2000</v>
      </c>
      <c r="K81" s="62" t="s">
        <v>25</v>
      </c>
    </row>
    <row r="82" spans="1:23" s="70" customFormat="1" ht="14.5" x14ac:dyDescent="0.35">
      <c r="A82" s="59">
        <f t="shared" si="3"/>
        <v>81</v>
      </c>
      <c r="B82" s="59" t="s">
        <v>141</v>
      </c>
      <c r="C82" s="59" t="s">
        <v>142</v>
      </c>
      <c r="D82" s="59" t="s">
        <v>13</v>
      </c>
      <c r="E82" s="64">
        <v>481140</v>
      </c>
      <c r="F82" s="61" t="s">
        <v>14</v>
      </c>
      <c r="G82" s="62" t="s">
        <v>19</v>
      </c>
      <c r="H82" s="63" cm="1">
        <f t="array" ref="H82">_xlfn.SWITCH(F82,"Early engagement", 10%,"Qualified lead/Tender in progress", 30%, "Proposal/tender submitted", 50%,"Negotiation stage", 70%,"Verbal commitment", 85%,"Contract signed/PO Issued", 100%,"Lost/No-Go", 0,"")</f>
        <v>1</v>
      </c>
      <c r="I82" s="64">
        <f t="shared" si="2"/>
        <v>481140</v>
      </c>
      <c r="J82" s="65">
        <v>481140</v>
      </c>
      <c r="K82" s="59" t="s">
        <v>16</v>
      </c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</row>
    <row r="83" spans="1:23" s="70" customFormat="1" ht="14.5" x14ac:dyDescent="0.35">
      <c r="A83" s="59">
        <f t="shared" si="3"/>
        <v>82</v>
      </c>
      <c r="B83" s="59" t="s">
        <v>141</v>
      </c>
      <c r="C83" s="59" t="s">
        <v>143</v>
      </c>
      <c r="D83" s="59" t="s">
        <v>13</v>
      </c>
      <c r="E83" s="64">
        <v>481140</v>
      </c>
      <c r="F83" s="61" t="s">
        <v>14</v>
      </c>
      <c r="G83" s="62" t="s">
        <v>19</v>
      </c>
      <c r="H83" s="63" cm="1">
        <f t="array" ref="H83">_xlfn.SWITCH(F83,"Early engagement", 10%,"Qualified lead/Tender in progress", 30%, "Proposal/tender submitted", 50%,"Negotiation stage", 70%,"Verbal commitment", 85%,"Contract signed/PO Issued", 100%,"Lost/No-Go", 0,"")</f>
        <v>1</v>
      </c>
      <c r="I83" s="64">
        <f t="shared" si="2"/>
        <v>481140</v>
      </c>
      <c r="J83" s="65">
        <v>481140</v>
      </c>
      <c r="K83" s="59" t="s">
        <v>16</v>
      </c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</row>
    <row r="84" spans="1:23" s="8" customFormat="1" ht="14.5" hidden="1" x14ac:dyDescent="0.35">
      <c r="A84" s="3">
        <f t="shared" ref="A84:A129" si="4">A83+1</f>
        <v>83</v>
      </c>
      <c r="B84" s="3" t="s">
        <v>127</v>
      </c>
      <c r="C84" s="3" t="s">
        <v>144</v>
      </c>
      <c r="D84" s="3" t="s">
        <v>13</v>
      </c>
      <c r="E84" s="27">
        <v>40000</v>
      </c>
      <c r="F84" s="5" t="s">
        <v>20</v>
      </c>
      <c r="G84" s="5" t="s">
        <v>24</v>
      </c>
      <c r="H84" s="24" cm="1">
        <f t="array" ref="H84">_xlfn.SWITCH(F84,"Early engagement", 10%,"Qualified lead/Tender in progress", 30%, "Proposal/tender submitted", 50%,"Negotiation stage", 70%,"Verbal commitment", 85%,"Contract signed/PO Issued", 100%,"Lost/No-Go", 0,"")</f>
        <v>0.1</v>
      </c>
      <c r="I84" s="25">
        <f t="shared" si="2"/>
        <v>4000</v>
      </c>
      <c r="J84" s="27"/>
      <c r="K84" s="3" t="s">
        <v>16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s="58" customFormat="1" x14ac:dyDescent="0.35">
      <c r="A85" s="59">
        <f t="shared" si="4"/>
        <v>84</v>
      </c>
      <c r="B85" s="59" t="s">
        <v>145</v>
      </c>
      <c r="C85" s="59" t="s">
        <v>80</v>
      </c>
      <c r="D85" s="59" t="s">
        <v>13</v>
      </c>
      <c r="E85" s="65">
        <v>22000</v>
      </c>
      <c r="F85" s="62" t="s">
        <v>61</v>
      </c>
      <c r="G85" s="62" t="s">
        <v>24</v>
      </c>
      <c r="H85" s="63" cm="1">
        <f t="array" ref="H85">_xlfn.SWITCH(F85,"Early engagement", 10%,"Qualified lead/Tender in progress", 30%, "Proposal/tender submitted", 50%,"Negotiation stage", 70%,"Verbal commitment", 85%,"Contract signed/PO Issued", 100%,"Lost/No-Go", 0,"")</f>
        <v>0.5</v>
      </c>
      <c r="I85" s="64">
        <f t="shared" si="2"/>
        <v>11000</v>
      </c>
      <c r="J85" s="65"/>
      <c r="K85" s="59" t="s">
        <v>16</v>
      </c>
    </row>
    <row r="86" spans="1:23" s="58" customFormat="1" x14ac:dyDescent="0.35">
      <c r="A86" s="59">
        <f t="shared" si="4"/>
        <v>85</v>
      </c>
      <c r="B86" s="59" t="s">
        <v>146</v>
      </c>
      <c r="C86" s="59" t="s">
        <v>80</v>
      </c>
      <c r="D86" s="59" t="s">
        <v>13</v>
      </c>
      <c r="E86" s="65">
        <v>9180</v>
      </c>
      <c r="F86" s="68" t="s">
        <v>14</v>
      </c>
      <c r="G86" s="62" t="s">
        <v>15</v>
      </c>
      <c r="H86" s="63" cm="1">
        <f t="array" ref="H86">_xlfn.SWITCH(F86,"Early engagement", 10%,"Qualified lead/Tender in progress", 30%, "Proposal/tender submitted", 50%,"Negotiation stage", 70%,"Verbal commitment", 85%,"Contract signed/PO Issued", 100%,"Lost/No-Go", 0,"")</f>
        <v>1</v>
      </c>
      <c r="I86" s="64">
        <f t="shared" si="2"/>
        <v>9180</v>
      </c>
      <c r="J86" s="65">
        <v>9180</v>
      </c>
      <c r="K86" s="59" t="s">
        <v>25</v>
      </c>
    </row>
    <row r="87" spans="1:23" s="58" customFormat="1" x14ac:dyDescent="0.35">
      <c r="A87" s="59">
        <f t="shared" si="4"/>
        <v>86</v>
      </c>
      <c r="B87" s="59" t="s">
        <v>55</v>
      </c>
      <c r="C87" s="59" t="s">
        <v>95</v>
      </c>
      <c r="D87" s="59" t="s">
        <v>13</v>
      </c>
      <c r="E87" s="65">
        <v>89600</v>
      </c>
      <c r="F87" s="68" t="s">
        <v>14</v>
      </c>
      <c r="G87" s="62" t="s">
        <v>15</v>
      </c>
      <c r="H87" s="63" cm="1">
        <f t="array" ref="H87">_xlfn.SWITCH(F87,"Early engagement", 10%,"Qualified lead/Tender in progress", 30%, "Proposal/tender submitted", 50%,"Negotiation stage", 70%,"Verbal commitment", 85%,"Contract signed/PO Issued", 100%,"Lost/No-Go", 0,"")</f>
        <v>1</v>
      </c>
      <c r="I87" s="64">
        <f t="shared" si="2"/>
        <v>89600</v>
      </c>
      <c r="J87" s="65">
        <v>89600</v>
      </c>
      <c r="K87" s="59" t="s">
        <v>25</v>
      </c>
    </row>
    <row r="88" spans="1:23" s="58" customFormat="1" x14ac:dyDescent="0.35">
      <c r="A88" s="59">
        <f t="shared" si="4"/>
        <v>87</v>
      </c>
      <c r="B88" s="59" t="s">
        <v>146</v>
      </c>
      <c r="C88" s="59" t="s">
        <v>147</v>
      </c>
      <c r="D88" s="59" t="s">
        <v>13</v>
      </c>
      <c r="E88" s="65">
        <v>52500</v>
      </c>
      <c r="F88" s="68" t="s">
        <v>14</v>
      </c>
      <c r="G88" s="62" t="s">
        <v>24</v>
      </c>
      <c r="H88" s="63" cm="1">
        <f t="array" ref="H88">_xlfn.SWITCH(F88,"Early engagement", 10%,"Qualified lead/Tender in progress", 30%, "Proposal/tender submitted", 50%,"Negotiation stage", 70%,"Verbal commitment", 85%,"Contract signed/PO Issued", 100%,"Lost/No-Go", 0,"")</f>
        <v>1</v>
      </c>
      <c r="I88" s="64">
        <f t="shared" si="2"/>
        <v>52500</v>
      </c>
      <c r="J88" s="65">
        <v>52500</v>
      </c>
      <c r="K88" s="59" t="s">
        <v>25</v>
      </c>
    </row>
    <row r="89" spans="1:23" s="58" customFormat="1" x14ac:dyDescent="0.35">
      <c r="A89" s="59">
        <f t="shared" si="4"/>
        <v>88</v>
      </c>
      <c r="B89" s="59" t="s">
        <v>148</v>
      </c>
      <c r="C89" s="59" t="s">
        <v>149</v>
      </c>
      <c r="D89" s="59" t="s">
        <v>13</v>
      </c>
      <c r="E89" s="65">
        <v>5000</v>
      </c>
      <c r="F89" s="68" t="s">
        <v>14</v>
      </c>
      <c r="G89" s="62" t="s">
        <v>24</v>
      </c>
      <c r="H89" s="63" cm="1">
        <f t="array" ref="H89">_xlfn.SWITCH(F89,"Early engagement", 10%,"Qualified lead/Tender in progress", 30%, "Proposal/tender submitted", 50%,"Negotiation stage", 70%,"Verbal commitment", 85%,"Contract signed/PO Issued", 100%,"Lost/No-Go", 0,"")</f>
        <v>1</v>
      </c>
      <c r="I89" s="64">
        <f t="shared" si="2"/>
        <v>5000</v>
      </c>
      <c r="J89" s="65">
        <v>5000</v>
      </c>
      <c r="K89" s="59" t="s">
        <v>16</v>
      </c>
    </row>
    <row r="90" spans="1:23" s="58" customFormat="1" x14ac:dyDescent="0.35">
      <c r="A90" s="59">
        <f t="shared" si="4"/>
        <v>89</v>
      </c>
      <c r="B90" s="59" t="s">
        <v>150</v>
      </c>
      <c r="C90" s="59" t="s">
        <v>151</v>
      </c>
      <c r="D90" s="59" t="s">
        <v>13</v>
      </c>
      <c r="E90" s="65">
        <v>46500</v>
      </c>
      <c r="F90" s="68" t="s">
        <v>14</v>
      </c>
      <c r="G90" s="62" t="s">
        <v>24</v>
      </c>
      <c r="H90" s="63" cm="1">
        <f t="array" ref="H90">_xlfn.SWITCH(F90,"Early engagement", 10%,"Qualified lead/Tender in progress", 30%, "Proposal/tender submitted", 50%,"Negotiation stage", 70%,"Verbal commitment", 85%,"Contract signed/PO Issued", 100%,"Lost/No-Go", 0,"")</f>
        <v>1</v>
      </c>
      <c r="I90" s="64">
        <f t="shared" si="2"/>
        <v>46500</v>
      </c>
      <c r="J90" s="65">
        <v>46500</v>
      </c>
      <c r="K90" s="59" t="s">
        <v>25</v>
      </c>
    </row>
    <row r="91" spans="1:23" ht="25" x14ac:dyDescent="0.35">
      <c r="A91" s="59">
        <f t="shared" si="4"/>
        <v>90</v>
      </c>
      <c r="B91" s="62" t="s">
        <v>152</v>
      </c>
      <c r="C91" s="62" t="s">
        <v>153</v>
      </c>
      <c r="D91" s="59" t="s">
        <v>13</v>
      </c>
      <c r="E91" s="65">
        <v>485000</v>
      </c>
      <c r="F91" s="61" t="s">
        <v>14</v>
      </c>
      <c r="G91" s="62" t="s">
        <v>21</v>
      </c>
      <c r="H91" s="63" cm="1">
        <f t="array" ref="H91">_xlfn.SWITCH(F91,"Early engagement", 10%,"Qualified lead/Tender in progress", 30%, "Proposal/tender submitted", 50%,"Negotiation stage", 70%,"Verbal commitment", 85%,"Contract signed/PO Issued", 100%,"Lost/No-Go", 0,"")</f>
        <v>1</v>
      </c>
      <c r="I91" s="64">
        <f t="shared" si="2"/>
        <v>485000</v>
      </c>
      <c r="J91" s="65">
        <v>485000</v>
      </c>
      <c r="K91" s="59" t="s">
        <v>25</v>
      </c>
    </row>
    <row r="92" spans="1:23" s="2" customFormat="1" hidden="1" x14ac:dyDescent="0.35">
      <c r="A92" s="3">
        <f t="shared" si="4"/>
        <v>91</v>
      </c>
      <c r="B92" s="5" t="s">
        <v>53</v>
      </c>
      <c r="C92" s="5" t="s">
        <v>154</v>
      </c>
      <c r="D92" s="3" t="s">
        <v>13</v>
      </c>
      <c r="E92" s="23">
        <v>500000</v>
      </c>
      <c r="F92" s="28" t="s">
        <v>27</v>
      </c>
      <c r="G92" s="5" t="s">
        <v>21</v>
      </c>
      <c r="H92" s="24" cm="1">
        <f t="array" ref="H92">_xlfn.SWITCH(F92,"Early engagement", 10%,"Qualified lead/Tender in progress", 30%, "Proposal/tender submitted", 50%,"Negotiation stage", 70%,"Verbal commitment", 85%,"Contract signed/PO Issued", 100%,"Lost/No-Go", 0,"")</f>
        <v>0.3</v>
      </c>
      <c r="I92" s="25">
        <f t="shared" si="2"/>
        <v>150000</v>
      </c>
      <c r="J92" s="36"/>
      <c r="K92" s="5" t="s">
        <v>16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s="2" customFormat="1" hidden="1" x14ac:dyDescent="0.35">
      <c r="A93" s="3">
        <f t="shared" si="4"/>
        <v>92</v>
      </c>
      <c r="B93" s="5" t="s">
        <v>53</v>
      </c>
      <c r="C93" s="5" t="s">
        <v>155</v>
      </c>
      <c r="D93" s="3" t="s">
        <v>13</v>
      </c>
      <c r="E93" s="23">
        <v>200000</v>
      </c>
      <c r="F93" s="28" t="s">
        <v>27</v>
      </c>
      <c r="G93" s="5" t="s">
        <v>21</v>
      </c>
      <c r="H93" s="24" cm="1">
        <f t="array" ref="H93">_xlfn.SWITCH(F93,"Early engagement", 10%,"Qualified lead/Tender in progress", 30%, "Proposal/tender submitted", 50%,"Negotiation stage", 70%,"Verbal commitment", 85%,"Contract signed/PO Issued", 100%,"Lost/No-Go", 0,"")</f>
        <v>0.3</v>
      </c>
      <c r="I93" s="25">
        <f t="shared" si="2"/>
        <v>60000</v>
      </c>
      <c r="J93" s="36"/>
      <c r="K93" s="5" t="s">
        <v>16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35">
      <c r="A94" s="59">
        <f t="shared" si="4"/>
        <v>93</v>
      </c>
      <c r="B94" s="62" t="s">
        <v>156</v>
      </c>
      <c r="C94" s="62" t="s">
        <v>157</v>
      </c>
      <c r="D94" s="59" t="s">
        <v>13</v>
      </c>
      <c r="E94" s="60">
        <v>21000</v>
      </c>
      <c r="F94" s="71" t="s">
        <v>61</v>
      </c>
      <c r="G94" s="62" t="s">
        <v>21</v>
      </c>
      <c r="H94" s="63" cm="1">
        <f t="array" ref="H94">_xlfn.SWITCH(F94,"Early engagement", 10%,"Qualified lead/Tender in progress", 30%, "Proposal/tender submitted", 50%,"Negotiation stage", 70%,"Verbal commitment", 85%,"Contract signed/PO Issued", 100%,"Lost/No-Go", 0,"")</f>
        <v>0.5</v>
      </c>
      <c r="I94" s="64">
        <f t="shared" si="2"/>
        <v>10500</v>
      </c>
      <c r="J94" s="72"/>
      <c r="K94" s="62" t="s">
        <v>25</v>
      </c>
    </row>
    <row r="95" spans="1:23" x14ac:dyDescent="0.35">
      <c r="A95" s="59">
        <f t="shared" si="4"/>
        <v>94</v>
      </c>
      <c r="B95" s="62" t="s">
        <v>53</v>
      </c>
      <c r="C95" s="62" t="s">
        <v>158</v>
      </c>
      <c r="D95" s="59" t="s">
        <v>13</v>
      </c>
      <c r="E95" s="60">
        <v>200000</v>
      </c>
      <c r="F95" s="71" t="s">
        <v>61</v>
      </c>
      <c r="G95" s="62" t="s">
        <v>21</v>
      </c>
      <c r="H95" s="63" cm="1">
        <f t="array" ref="H95">_xlfn.SWITCH(F95,"Early engagement", 10%,"Qualified lead/Tender in progress", 30%, "Proposal/tender submitted", 50%,"Negotiation stage", 70%,"Verbal commitment", 85%,"Contract signed/PO Issued", 100%,"Lost/No-Go", 0,"")</f>
        <v>0.5</v>
      </c>
      <c r="I95" s="64">
        <f t="shared" si="2"/>
        <v>100000</v>
      </c>
      <c r="J95" s="72"/>
      <c r="K95" s="62" t="s">
        <v>16</v>
      </c>
    </row>
    <row r="96" spans="1:23" s="2" customFormat="1" hidden="1" x14ac:dyDescent="0.35">
      <c r="A96" s="3">
        <f t="shared" si="4"/>
        <v>95</v>
      </c>
      <c r="B96" s="5" t="s">
        <v>159</v>
      </c>
      <c r="C96" s="5" t="s">
        <v>160</v>
      </c>
      <c r="D96" s="3" t="s">
        <v>13</v>
      </c>
      <c r="E96" s="23">
        <v>29000000</v>
      </c>
      <c r="F96" s="28" t="s">
        <v>31</v>
      </c>
      <c r="G96" s="5" t="s">
        <v>21</v>
      </c>
      <c r="H96" s="24" cm="1">
        <f t="array" ref="H96">_xlfn.SWITCH(F96,"Early engagement", 10%,"Qualified lead/Tender in progress", 30%, "Proposal/tender submitted", 50%,"Negotiation stage", 70%,"Verbal commitment", 85%,"Contract signed/PO Issued", 100%,"Lost/No-Go", 0,"")</f>
        <v>0</v>
      </c>
      <c r="I96" s="25">
        <f t="shared" si="2"/>
        <v>0</v>
      </c>
      <c r="J96" s="36"/>
      <c r="K96" s="5" t="s">
        <v>16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35">
      <c r="A97" s="59">
        <f t="shared" si="4"/>
        <v>96</v>
      </c>
      <c r="B97" s="62" t="s">
        <v>161</v>
      </c>
      <c r="C97" s="62" t="s">
        <v>149</v>
      </c>
      <c r="D97" s="59" t="s">
        <v>13</v>
      </c>
      <c r="E97" s="60">
        <v>21000</v>
      </c>
      <c r="F97" s="71" t="s">
        <v>61</v>
      </c>
      <c r="G97" s="62" t="s">
        <v>21</v>
      </c>
      <c r="H97" s="63" cm="1">
        <f t="array" ref="H97">_xlfn.SWITCH(F97,"Early engagement", 10%,"Qualified lead/Tender in progress", 30%, "Proposal/tender submitted", 50%,"Negotiation stage", 70%,"Verbal commitment", 85%,"Contract signed/PO Issued", 100%,"Lost/No-Go", 0,"")</f>
        <v>0.5</v>
      </c>
      <c r="I97" s="64">
        <f t="shared" si="2"/>
        <v>10500</v>
      </c>
      <c r="J97" s="72"/>
      <c r="K97" s="62" t="s">
        <v>25</v>
      </c>
    </row>
    <row r="98" spans="1:23" x14ac:dyDescent="0.35">
      <c r="A98" s="59">
        <f t="shared" si="4"/>
        <v>97</v>
      </c>
      <c r="B98" s="62" t="s">
        <v>87</v>
      </c>
      <c r="C98" s="62" t="s">
        <v>162</v>
      </c>
      <c r="D98" s="59" t="s">
        <v>13</v>
      </c>
      <c r="E98" s="60">
        <v>15000</v>
      </c>
      <c r="F98" s="71" t="s">
        <v>61</v>
      </c>
      <c r="G98" s="62" t="s">
        <v>21</v>
      </c>
      <c r="H98" s="63" cm="1">
        <f t="array" ref="H98">_xlfn.SWITCH(F98,"Early engagement", 10%,"Qualified lead/Tender in progress", 30%, "Proposal/tender submitted", 50%,"Negotiation stage", 70%,"Verbal commitment", 85%,"Contract signed/PO Issued", 100%,"Lost/No-Go", 0,"")</f>
        <v>0.5</v>
      </c>
      <c r="I98" s="64">
        <f t="shared" si="2"/>
        <v>7500</v>
      </c>
      <c r="J98" s="72"/>
      <c r="K98" s="62" t="s">
        <v>25</v>
      </c>
    </row>
    <row r="99" spans="1:23" s="2" customFormat="1" hidden="1" x14ac:dyDescent="0.35">
      <c r="A99" s="3">
        <f t="shared" si="4"/>
        <v>98</v>
      </c>
      <c r="B99" s="5" t="s">
        <v>163</v>
      </c>
      <c r="C99" s="5" t="s">
        <v>164</v>
      </c>
      <c r="D99" s="3" t="s">
        <v>13</v>
      </c>
      <c r="E99" s="23">
        <v>200000</v>
      </c>
      <c r="F99" s="28" t="s">
        <v>27</v>
      </c>
      <c r="G99" s="5" t="s">
        <v>21</v>
      </c>
      <c r="H99" s="24" cm="1">
        <f t="array" ref="H99">_xlfn.SWITCH(F99,"Early engagement", 10%,"Qualified lead/Tender in progress", 30%, "Proposal/tender submitted", 50%,"Negotiation stage", 70%,"Verbal commitment", 85%,"Contract signed/PO Issued", 100%,"Lost/No-Go", 0,"")</f>
        <v>0.3</v>
      </c>
      <c r="I99" s="25">
        <f t="shared" si="2"/>
        <v>60000</v>
      </c>
      <c r="J99" s="36"/>
      <c r="K99" s="5" t="s">
        <v>16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s="2" customFormat="1" hidden="1" x14ac:dyDescent="0.35">
      <c r="A100" s="3">
        <f t="shared" si="4"/>
        <v>99</v>
      </c>
      <c r="B100" s="5" t="s">
        <v>163</v>
      </c>
      <c r="C100" s="5" t="s">
        <v>165</v>
      </c>
      <c r="D100" s="3" t="s">
        <v>13</v>
      </c>
      <c r="E100" s="23">
        <v>200000</v>
      </c>
      <c r="F100" s="28" t="s">
        <v>27</v>
      </c>
      <c r="G100" s="5" t="s">
        <v>21</v>
      </c>
      <c r="H100" s="24" cm="1">
        <f t="array" ref="H100">_xlfn.SWITCH(F100,"Early engagement", 10%,"Qualified lead/Tender in progress", 30%, "Proposal/tender submitted", 50%,"Negotiation stage", 70%,"Verbal commitment", 85%,"Contract signed/PO Issued", 100%,"Lost/No-Go", 0,"")</f>
        <v>0.3</v>
      </c>
      <c r="I100" s="25">
        <f t="shared" si="2"/>
        <v>60000</v>
      </c>
      <c r="J100" s="36"/>
      <c r="K100" s="5" t="s">
        <v>16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s="2" customFormat="1" hidden="1" x14ac:dyDescent="0.35">
      <c r="A101" s="3">
        <f t="shared" si="4"/>
        <v>100</v>
      </c>
      <c r="B101" s="5" t="s">
        <v>163</v>
      </c>
      <c r="C101" s="5" t="s">
        <v>166</v>
      </c>
      <c r="D101" s="3" t="s">
        <v>13</v>
      </c>
      <c r="E101" s="23">
        <v>200000</v>
      </c>
      <c r="F101" s="28" t="s">
        <v>27</v>
      </c>
      <c r="G101" s="5" t="s">
        <v>21</v>
      </c>
      <c r="H101" s="24" cm="1">
        <f t="array" ref="H101">_xlfn.SWITCH(F101,"Early engagement", 10%,"Qualified lead/Tender in progress", 30%, "Proposal/tender submitted", 50%,"Negotiation stage", 70%,"Verbal commitment", 85%,"Contract signed/PO Issued", 100%,"Lost/No-Go", 0,"")</f>
        <v>0.3</v>
      </c>
      <c r="I101" s="25">
        <f t="shared" si="2"/>
        <v>60000</v>
      </c>
      <c r="J101" s="36"/>
      <c r="K101" s="5" t="s">
        <v>16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s="2" customFormat="1" hidden="1" x14ac:dyDescent="0.35">
      <c r="A102" s="3">
        <f t="shared" si="4"/>
        <v>101</v>
      </c>
      <c r="B102" s="5" t="s">
        <v>163</v>
      </c>
      <c r="C102" s="5" t="s">
        <v>167</v>
      </c>
      <c r="D102" s="3" t="s">
        <v>13</v>
      </c>
      <c r="E102" s="23">
        <v>200000</v>
      </c>
      <c r="F102" s="28" t="s">
        <v>27</v>
      </c>
      <c r="G102" s="5" t="s">
        <v>21</v>
      </c>
      <c r="H102" s="24" cm="1">
        <f t="array" ref="H102">_xlfn.SWITCH(F102,"Early engagement", 10%,"Qualified lead/Tender in progress", 30%, "Proposal/tender submitted", 50%,"Negotiation stage", 70%,"Verbal commitment", 85%,"Contract signed/PO Issued", 100%,"Lost/No-Go", 0,"")</f>
        <v>0.3</v>
      </c>
      <c r="I102" s="25">
        <f t="shared" si="2"/>
        <v>60000</v>
      </c>
      <c r="J102" s="36"/>
      <c r="K102" s="5" t="s">
        <v>16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s="2" customFormat="1" hidden="1" x14ac:dyDescent="0.35">
      <c r="A103" s="3">
        <f t="shared" si="4"/>
        <v>102</v>
      </c>
      <c r="B103" s="5" t="s">
        <v>168</v>
      </c>
      <c r="C103" s="5" t="s">
        <v>169</v>
      </c>
      <c r="D103" s="3" t="s">
        <v>13</v>
      </c>
      <c r="E103" s="23">
        <v>42000</v>
      </c>
      <c r="F103" s="28" t="s">
        <v>20</v>
      </c>
      <c r="G103" s="5" t="s">
        <v>21</v>
      </c>
      <c r="H103" s="24" cm="1">
        <f t="array" ref="H103">_xlfn.SWITCH(F103,"Early engagement", 10%,"Qualified lead/Tender in progress", 30%, "Proposal/tender submitted", 50%,"Negotiation stage", 70%,"Verbal commitment", 85%,"Contract signed/PO Issued", 100%,"Lost/No-Go", 0,"")</f>
        <v>0.1</v>
      </c>
      <c r="I103" s="25">
        <f t="shared" si="2"/>
        <v>4200</v>
      </c>
      <c r="J103" s="36"/>
      <c r="K103" s="5" t="s">
        <v>25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5">
      <c r="A104" s="59">
        <f t="shared" si="4"/>
        <v>103</v>
      </c>
      <c r="B104" s="62" t="s">
        <v>170</v>
      </c>
      <c r="C104" s="62" t="s">
        <v>171</v>
      </c>
      <c r="D104" s="59" t="s">
        <v>13</v>
      </c>
      <c r="E104" s="60">
        <v>30000</v>
      </c>
      <c r="F104" s="71" t="s">
        <v>61</v>
      </c>
      <c r="G104" s="62" t="s">
        <v>21</v>
      </c>
      <c r="H104" s="63" cm="1">
        <f t="array" ref="H104">_xlfn.SWITCH(F104,"Early engagement", 10%,"Qualified lead/Tender in progress", 30%, "Proposal/tender submitted", 50%,"Negotiation stage", 70%,"Verbal commitment", 85%,"Contract signed/PO Issued", 100%,"Lost/No-Go", 0,"")</f>
        <v>0.5</v>
      </c>
      <c r="I104" s="64">
        <f t="shared" si="2"/>
        <v>15000</v>
      </c>
      <c r="J104" s="72"/>
      <c r="K104" s="62" t="s">
        <v>25</v>
      </c>
    </row>
    <row r="105" spans="1:23" s="2" customFormat="1" hidden="1" x14ac:dyDescent="0.35">
      <c r="A105" s="3">
        <f t="shared" si="4"/>
        <v>104</v>
      </c>
      <c r="B105" s="5" t="s">
        <v>172</v>
      </c>
      <c r="C105" s="5" t="s">
        <v>113</v>
      </c>
      <c r="D105" s="3" t="s">
        <v>13</v>
      </c>
      <c r="E105" s="23">
        <v>150000</v>
      </c>
      <c r="F105" s="28" t="s">
        <v>27</v>
      </c>
      <c r="G105" s="5" t="s">
        <v>21</v>
      </c>
      <c r="H105" s="24" cm="1">
        <f t="array" ref="H105">_xlfn.SWITCH(F105,"Early engagement", 10%,"Qualified lead/Tender in progress", 30%, "Proposal/tender submitted", 50%,"Negotiation stage", 70%,"Verbal commitment", 85%,"Contract signed/PO Issued", 100%,"Lost/No-Go", 0,"")</f>
        <v>0.3</v>
      </c>
      <c r="I105" s="25">
        <f t="shared" si="2"/>
        <v>45000</v>
      </c>
      <c r="J105" s="36"/>
      <c r="K105" s="5" t="s">
        <v>16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5">
      <c r="A106" s="59">
        <f t="shared" si="4"/>
        <v>105</v>
      </c>
      <c r="B106" s="62" t="s">
        <v>173</v>
      </c>
      <c r="C106" s="62" t="s">
        <v>174</v>
      </c>
      <c r="D106" s="59" t="s">
        <v>13</v>
      </c>
      <c r="E106" s="60">
        <v>28000</v>
      </c>
      <c r="F106" s="73" t="s">
        <v>14</v>
      </c>
      <c r="G106" s="62" t="s">
        <v>21</v>
      </c>
      <c r="H106" s="63" cm="1">
        <f t="array" ref="H106">_xlfn.SWITCH(F106,"Early engagement", 10%,"Qualified lead/Tender in progress", 30%, "Proposal/tender submitted", 50%,"Negotiation stage", 70%,"Verbal commitment", 85%,"Contract signed/PO Issued", 100%,"Lost/No-Go", 0,"")</f>
        <v>1</v>
      </c>
      <c r="I106" s="64">
        <f t="shared" si="2"/>
        <v>28000</v>
      </c>
      <c r="J106" s="72">
        <v>27999</v>
      </c>
      <c r="K106" s="62" t="s">
        <v>16</v>
      </c>
    </row>
    <row r="107" spans="1:23" ht="25" x14ac:dyDescent="0.35">
      <c r="A107" s="59">
        <f t="shared" si="4"/>
        <v>106</v>
      </c>
      <c r="B107" s="62" t="s">
        <v>175</v>
      </c>
      <c r="C107" s="62" t="s">
        <v>176</v>
      </c>
      <c r="D107" s="59" t="s">
        <v>13</v>
      </c>
      <c r="E107" s="60">
        <v>48600</v>
      </c>
      <c r="F107" s="71" t="s">
        <v>61</v>
      </c>
      <c r="G107" s="62" t="s">
        <v>21</v>
      </c>
      <c r="H107" s="63" cm="1">
        <f t="array" ref="H107">_xlfn.SWITCH(F107,"Early engagement", 10%,"Qualified lead/Tender in progress", 30%, "Proposal/tender submitted", 50%,"Negotiation stage", 70%,"Verbal commitment", 85%,"Contract signed/PO Issued", 100%,"Lost/No-Go", 0,"")</f>
        <v>0.5</v>
      </c>
      <c r="I107" s="64">
        <f t="shared" si="2"/>
        <v>24300</v>
      </c>
      <c r="J107" s="72"/>
      <c r="K107" s="62" t="s">
        <v>16</v>
      </c>
    </row>
    <row r="108" spans="1:23" x14ac:dyDescent="0.35">
      <c r="A108" s="59">
        <f t="shared" si="4"/>
        <v>107</v>
      </c>
      <c r="B108" s="62" t="s">
        <v>177</v>
      </c>
      <c r="C108" s="62" t="s">
        <v>178</v>
      </c>
      <c r="D108" s="59" t="s">
        <v>13</v>
      </c>
      <c r="E108" s="60">
        <v>100000</v>
      </c>
      <c r="F108" s="71" t="s">
        <v>61</v>
      </c>
      <c r="G108" s="62" t="s">
        <v>21</v>
      </c>
      <c r="H108" s="63" cm="1">
        <f t="array" ref="H108">_xlfn.SWITCH(F108,"Early engagement", 10%,"Qualified lead/Tender in progress", 30%, "Proposal/tender submitted", 50%,"Negotiation stage", 70%,"Verbal commitment", 85%,"Contract signed/PO Issued", 100%,"Lost/No-Go", 0,"")</f>
        <v>0.5</v>
      </c>
      <c r="I108" s="64">
        <f t="shared" si="2"/>
        <v>50000</v>
      </c>
      <c r="J108" s="72"/>
      <c r="K108" s="62" t="s">
        <v>25</v>
      </c>
    </row>
    <row r="109" spans="1:23" x14ac:dyDescent="0.35">
      <c r="A109" s="59">
        <f t="shared" si="4"/>
        <v>108</v>
      </c>
      <c r="B109" s="62" t="s">
        <v>179</v>
      </c>
      <c r="C109" s="62" t="s">
        <v>180</v>
      </c>
      <c r="D109" s="59" t="s">
        <v>13</v>
      </c>
      <c r="E109" s="60">
        <v>22680</v>
      </c>
      <c r="F109" s="71" t="s">
        <v>29</v>
      </c>
      <c r="G109" s="62" t="s">
        <v>21</v>
      </c>
      <c r="H109" s="63" cm="1">
        <f t="array" ref="H109">_xlfn.SWITCH(F109,"Early engagement", 10%,"Qualified lead/Tender in progress", 30%, "Proposal/tender submitted", 50%,"Negotiation stage", 70%,"Verbal commitment", 85%,"Contract signed/PO Issued", 100%,"Lost/No-Go", 0,"")</f>
        <v>0.85</v>
      </c>
      <c r="I109" s="64">
        <f t="shared" si="2"/>
        <v>19278</v>
      </c>
      <c r="J109" s="72"/>
      <c r="K109" s="62" t="s">
        <v>25</v>
      </c>
    </row>
    <row r="110" spans="1:23" s="2" customFormat="1" hidden="1" x14ac:dyDescent="0.35">
      <c r="A110" s="3">
        <f t="shared" ref="A110:A114" si="5">A109+1</f>
        <v>109</v>
      </c>
      <c r="B110" s="5" t="s">
        <v>181</v>
      </c>
      <c r="C110" s="5" t="s">
        <v>182</v>
      </c>
      <c r="D110" s="3" t="s">
        <v>13</v>
      </c>
      <c r="E110" s="23">
        <v>150000</v>
      </c>
      <c r="F110" s="28" t="s">
        <v>27</v>
      </c>
      <c r="G110" s="5" t="s">
        <v>21</v>
      </c>
      <c r="H110" s="24" cm="1">
        <f t="array" ref="H110">_xlfn.SWITCH(F110,"Early engagement", 10%,"Qualified lead/Tender in progress", 30%, "Proposal/tender submitted", 50%,"Negotiation stage", 70%,"Verbal commitment", 85%,"Contract signed/PO Issued", 100%,"Lost/No-Go", 0,"")</f>
        <v>0.3</v>
      </c>
      <c r="I110" s="25">
        <f t="shared" si="2"/>
        <v>45000</v>
      </c>
      <c r="J110" s="36"/>
      <c r="K110" s="5" t="s">
        <v>16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5">
      <c r="A111" s="59">
        <f t="shared" si="5"/>
        <v>110</v>
      </c>
      <c r="B111" s="62" t="s">
        <v>183</v>
      </c>
      <c r="C111" s="62" t="s">
        <v>157</v>
      </c>
      <c r="D111" s="59" t="s">
        <v>13</v>
      </c>
      <c r="E111" s="60">
        <v>22680</v>
      </c>
      <c r="F111" s="71" t="s">
        <v>29</v>
      </c>
      <c r="G111" s="62" t="s">
        <v>21</v>
      </c>
      <c r="H111" s="63" cm="1">
        <f t="array" ref="H111">_xlfn.SWITCH(F111,"Early engagement", 10%,"Qualified lead/Tender in progress", 30%, "Proposal/tender submitted", 50%,"Negotiation stage", 70%,"Verbal commitment", 85%,"Contract signed/PO Issued", 100%,"Lost/No-Go", 0,"")</f>
        <v>0.85</v>
      </c>
      <c r="I111" s="64">
        <f t="shared" si="2"/>
        <v>19278</v>
      </c>
      <c r="J111" s="72"/>
      <c r="K111" s="62" t="s">
        <v>25</v>
      </c>
    </row>
    <row r="112" spans="1:23" s="2" customFormat="1" hidden="1" x14ac:dyDescent="0.35">
      <c r="A112" s="3">
        <f t="shared" si="5"/>
        <v>111</v>
      </c>
      <c r="B112" s="5" t="s">
        <v>156</v>
      </c>
      <c r="C112" s="5" t="s">
        <v>167</v>
      </c>
      <c r="D112" s="3" t="s">
        <v>13</v>
      </c>
      <c r="E112" s="23">
        <v>50000</v>
      </c>
      <c r="F112" s="28" t="s">
        <v>20</v>
      </c>
      <c r="G112" s="5" t="s">
        <v>21</v>
      </c>
      <c r="H112" s="24" cm="1">
        <f t="array" ref="H112">_xlfn.SWITCH(F112,"Early engagement", 10%,"Qualified lead/Tender in progress", 30%, "Proposal/tender submitted", 50%,"Negotiation stage", 70%,"Verbal commitment", 85%,"Contract signed/PO Issued", 100%,"Lost/No-Go", 0,"")</f>
        <v>0.1</v>
      </c>
      <c r="I112" s="25">
        <f t="shared" si="2"/>
        <v>5000</v>
      </c>
      <c r="J112" s="36"/>
      <c r="K112" s="5" t="s">
        <v>25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s="2" customFormat="1" hidden="1" x14ac:dyDescent="0.35">
      <c r="A113" s="3">
        <f t="shared" si="5"/>
        <v>112</v>
      </c>
      <c r="B113" s="5" t="s">
        <v>184</v>
      </c>
      <c r="C113" s="5" t="s">
        <v>185</v>
      </c>
      <c r="D113" s="3" t="s">
        <v>13</v>
      </c>
      <c r="E113" s="23">
        <v>21000</v>
      </c>
      <c r="F113" s="28" t="s">
        <v>20</v>
      </c>
      <c r="G113" s="5" t="s">
        <v>21</v>
      </c>
      <c r="H113" s="24" cm="1">
        <f t="array" ref="H113">_xlfn.SWITCH(F113,"Early engagement", 10%,"Qualified lead/Tender in progress", 30%, "Proposal/tender submitted", 50%,"Negotiation stage", 70%,"Verbal commitment", 85%,"Contract signed/PO Issued", 100%,"Lost/No-Go", 0,"")</f>
        <v>0.1</v>
      </c>
      <c r="I113" s="25">
        <f t="shared" si="2"/>
        <v>2100</v>
      </c>
      <c r="J113" s="36"/>
      <c r="K113" s="5" t="s">
        <v>25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s="2" customFormat="1" hidden="1" x14ac:dyDescent="0.35">
      <c r="A114" s="3">
        <f t="shared" si="5"/>
        <v>113</v>
      </c>
      <c r="B114" s="5" t="s">
        <v>184</v>
      </c>
      <c r="C114" s="5" t="s">
        <v>186</v>
      </c>
      <c r="D114" s="3" t="s">
        <v>13</v>
      </c>
      <c r="E114" s="23">
        <v>21000</v>
      </c>
      <c r="F114" s="28" t="s">
        <v>20</v>
      </c>
      <c r="G114" s="5" t="s">
        <v>21</v>
      </c>
      <c r="H114" s="24" cm="1">
        <f t="array" ref="H114">_xlfn.SWITCH(F114,"Early engagement", 10%,"Qualified lead/Tender in progress", 30%, "Proposal/tender submitted", 50%,"Negotiation stage", 70%,"Verbal commitment", 85%,"Contract signed/PO Issued", 100%,"Lost/No-Go", 0,"")</f>
        <v>0.1</v>
      </c>
      <c r="I114" s="25">
        <f t="shared" si="2"/>
        <v>2100</v>
      </c>
      <c r="J114" s="36"/>
      <c r="K114" s="5" t="s">
        <v>25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s="2" customFormat="1" hidden="1" x14ac:dyDescent="0.35">
      <c r="A115" s="3">
        <f t="shared" si="4"/>
        <v>114</v>
      </c>
      <c r="B115" s="5" t="s">
        <v>187</v>
      </c>
      <c r="C115" s="5" t="s">
        <v>149</v>
      </c>
      <c r="D115" s="3" t="s">
        <v>13</v>
      </c>
      <c r="E115" s="23">
        <v>25000</v>
      </c>
      <c r="F115" s="28" t="s">
        <v>27</v>
      </c>
      <c r="G115" s="5" t="s">
        <v>21</v>
      </c>
      <c r="H115" s="24" cm="1">
        <f t="array" ref="H115">_xlfn.SWITCH(F115,"Early engagement", 10%,"Qualified lead/Tender in progress", 30%, "Proposal/tender submitted", 50%,"Negotiation stage", 70%,"Verbal commitment", 85%,"Contract signed/PO Issued", 100%,"Lost/No-Go", 0,"")</f>
        <v>0.3</v>
      </c>
      <c r="I115" s="25">
        <f t="shared" si="2"/>
        <v>7500</v>
      </c>
      <c r="J115" s="36"/>
      <c r="K115" s="5" t="s">
        <v>25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s="2" customFormat="1" hidden="1" x14ac:dyDescent="0.35">
      <c r="A116" s="3">
        <f t="shared" si="4"/>
        <v>115</v>
      </c>
      <c r="B116" s="5" t="s">
        <v>187</v>
      </c>
      <c r="C116" s="5" t="s">
        <v>167</v>
      </c>
      <c r="D116" s="3" t="s">
        <v>13</v>
      </c>
      <c r="E116" s="23">
        <v>10500</v>
      </c>
      <c r="F116" s="28" t="s">
        <v>27</v>
      </c>
      <c r="G116" s="5" t="s">
        <v>21</v>
      </c>
      <c r="H116" s="24" cm="1">
        <f t="array" ref="H116">_xlfn.SWITCH(F116,"Early engagement", 10%,"Qualified lead/Tender in progress", 30%, "Proposal/tender submitted", 50%,"Negotiation stage", 70%,"Verbal commitment", 85%,"Contract signed/PO Issued", 100%,"Lost/No-Go", 0,"")</f>
        <v>0.3</v>
      </c>
      <c r="I116" s="25">
        <f t="shared" si="2"/>
        <v>3150</v>
      </c>
      <c r="J116" s="36"/>
      <c r="K116" s="5" t="s">
        <v>25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s="2" customFormat="1" hidden="1" x14ac:dyDescent="0.35">
      <c r="A117" s="3">
        <f t="shared" si="4"/>
        <v>116</v>
      </c>
      <c r="B117" s="5" t="s">
        <v>124</v>
      </c>
      <c r="C117" s="5" t="s">
        <v>149</v>
      </c>
      <c r="D117" s="3" t="s">
        <v>13</v>
      </c>
      <c r="E117" s="23">
        <v>21000</v>
      </c>
      <c r="F117" s="28" t="s">
        <v>27</v>
      </c>
      <c r="G117" s="5" t="s">
        <v>21</v>
      </c>
      <c r="H117" s="24" cm="1">
        <f t="array" ref="H117">_xlfn.SWITCH(F117,"Early engagement", 10%,"Qualified lead/Tender in progress", 30%, "Proposal/tender submitted", 50%,"Negotiation stage", 70%,"Verbal commitment", 85%,"Contract signed/PO Issued", 100%,"Lost/No-Go", 0,"")</f>
        <v>0.3</v>
      </c>
      <c r="I117" s="25">
        <f t="shared" si="2"/>
        <v>6300</v>
      </c>
      <c r="J117" s="36"/>
      <c r="K117" s="5" t="s">
        <v>25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s="2" customFormat="1" hidden="1" x14ac:dyDescent="0.35">
      <c r="A118" s="3">
        <f t="shared" si="4"/>
        <v>117</v>
      </c>
      <c r="B118" s="5" t="s">
        <v>124</v>
      </c>
      <c r="C118" s="5" t="s">
        <v>188</v>
      </c>
      <c r="D118" s="3" t="s">
        <v>13</v>
      </c>
      <c r="E118" s="23">
        <v>71000</v>
      </c>
      <c r="F118" s="28" t="s">
        <v>27</v>
      </c>
      <c r="G118" s="5" t="s">
        <v>21</v>
      </c>
      <c r="H118" s="24" cm="1">
        <f t="array" ref="H118">_xlfn.SWITCH(F118,"Early engagement", 10%,"Qualified lead/Tender in progress", 30%, "Proposal/tender submitted", 50%,"Negotiation stage", 70%,"Verbal commitment", 85%,"Contract signed/PO Issued", 100%,"Lost/No-Go", 0,"")</f>
        <v>0.3</v>
      </c>
      <c r="I118" s="25">
        <f t="shared" si="2"/>
        <v>21300</v>
      </c>
      <c r="J118" s="36"/>
      <c r="K118" s="5" t="s">
        <v>25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s="2" customFormat="1" hidden="1" x14ac:dyDescent="0.35">
      <c r="A119" s="3">
        <f t="shared" si="4"/>
        <v>118</v>
      </c>
      <c r="B119" s="5" t="s">
        <v>189</v>
      </c>
      <c r="C119" s="5" t="s">
        <v>149</v>
      </c>
      <c r="D119" s="3" t="s">
        <v>13</v>
      </c>
      <c r="E119" s="23">
        <v>21000</v>
      </c>
      <c r="F119" s="28" t="s">
        <v>27</v>
      </c>
      <c r="G119" s="5" t="s">
        <v>21</v>
      </c>
      <c r="H119" s="24" cm="1">
        <f t="array" ref="H119">_xlfn.SWITCH(F119,"Early engagement", 10%,"Qualified lead/Tender in progress", 30%, "Proposal/tender submitted", 50%,"Negotiation stage", 70%,"Verbal commitment", 85%,"Contract signed/PO Issued", 100%,"Lost/No-Go", 0,"")</f>
        <v>0.3</v>
      </c>
      <c r="I119" s="25">
        <f t="shared" si="2"/>
        <v>6300</v>
      </c>
      <c r="J119" s="36"/>
      <c r="K119" s="5" t="s">
        <v>25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s="2" customFormat="1" hidden="1" x14ac:dyDescent="0.35">
      <c r="A120" s="3">
        <f t="shared" si="4"/>
        <v>119</v>
      </c>
      <c r="B120" s="5" t="s">
        <v>189</v>
      </c>
      <c r="C120" s="5" t="s">
        <v>188</v>
      </c>
      <c r="D120" s="3" t="s">
        <v>13</v>
      </c>
      <c r="E120" s="23">
        <v>71000</v>
      </c>
      <c r="F120" s="28" t="s">
        <v>27</v>
      </c>
      <c r="G120" s="5" t="s">
        <v>21</v>
      </c>
      <c r="H120" s="24" cm="1">
        <f t="array" ref="H120">_xlfn.SWITCH(F120,"Early engagement", 10%,"Qualified lead/Tender in progress", 30%, "Proposal/tender submitted", 50%,"Negotiation stage", 70%,"Verbal commitment", 85%,"Contract signed/PO Issued", 100%,"Lost/No-Go", 0,"")</f>
        <v>0.3</v>
      </c>
      <c r="I120" s="25">
        <f t="shared" si="2"/>
        <v>21300</v>
      </c>
      <c r="J120" s="36"/>
      <c r="K120" s="5" t="s">
        <v>25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s="2" customFormat="1" ht="25" hidden="1" x14ac:dyDescent="0.35">
      <c r="A121" s="3">
        <f t="shared" si="4"/>
        <v>120</v>
      </c>
      <c r="B121" s="29" t="s">
        <v>190</v>
      </c>
      <c r="C121" s="29" t="s">
        <v>149</v>
      </c>
      <c r="D121" s="3" t="s">
        <v>13</v>
      </c>
      <c r="E121" s="23">
        <v>21000</v>
      </c>
      <c r="F121" s="28" t="s">
        <v>27</v>
      </c>
      <c r="G121" s="5" t="s">
        <v>21</v>
      </c>
      <c r="H121" s="24" cm="1">
        <f t="array" ref="H121">_xlfn.SWITCH(F121,"Early engagement", 10%,"Qualified lead/Tender in progress", 30%, "Proposal/tender submitted", 50%,"Negotiation stage", 70%,"Verbal commitment", 85%,"Contract signed/PO Issued", 100%,"Lost/No-Go", 0,"")</f>
        <v>0.3</v>
      </c>
      <c r="I121" s="25">
        <f t="shared" si="2"/>
        <v>6300</v>
      </c>
      <c r="J121" s="36"/>
      <c r="K121" s="29" t="s">
        <v>16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s="2" customFormat="1" ht="25" hidden="1" x14ac:dyDescent="0.35">
      <c r="A122" s="3">
        <f t="shared" si="4"/>
        <v>121</v>
      </c>
      <c r="B122" s="29" t="s">
        <v>190</v>
      </c>
      <c r="C122" s="29" t="s">
        <v>188</v>
      </c>
      <c r="D122" s="3" t="s">
        <v>13</v>
      </c>
      <c r="E122" s="30">
        <v>71000</v>
      </c>
      <c r="F122" s="31" t="s">
        <v>27</v>
      </c>
      <c r="G122" s="29" t="s">
        <v>21</v>
      </c>
      <c r="H122" s="32" cm="1">
        <f t="array" ref="H122">_xlfn.SWITCH(F122,"Early engagement", 10%,"Qualified lead/Tender in progress", 30%, "Proposal/tender submitted", 50%,"Negotiation stage", 70%,"Verbal commitment", 85%,"Contract signed/PO Issued", 100%,"Lost/No-Go", 0,"")</f>
        <v>0.3</v>
      </c>
      <c r="I122" s="33">
        <f t="shared" si="2"/>
        <v>21300</v>
      </c>
      <c r="J122" s="37"/>
      <c r="K122" s="29" t="s">
        <v>16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5">
      <c r="A123" s="59">
        <f t="shared" si="4"/>
        <v>122</v>
      </c>
      <c r="B123" s="59" t="s">
        <v>191</v>
      </c>
      <c r="C123" s="74" t="s">
        <v>192</v>
      </c>
      <c r="D123" s="59" t="s">
        <v>13</v>
      </c>
      <c r="E123" s="75">
        <v>23829.119999999999</v>
      </c>
      <c r="F123" s="61" t="s">
        <v>14</v>
      </c>
      <c r="G123" s="62" t="s">
        <v>24</v>
      </c>
      <c r="H123" s="63" cm="1">
        <f t="array" ref="H123">_xlfn.SWITCH(F123,"Early engagement", 10%,"Qualified lead/Tender in progress", 30%, "Proposal/tender submitted", 50%,"Negotiation stage", 70%,"Verbal commitment", 85%,"Contract signed/PO Issued", 100%,"Lost/No-Go", 0,"")</f>
        <v>1</v>
      </c>
      <c r="I123" s="64">
        <f t="shared" si="2"/>
        <v>23829.119999999999</v>
      </c>
      <c r="J123" s="65">
        <v>23800</v>
      </c>
      <c r="K123" s="62" t="s">
        <v>16</v>
      </c>
    </row>
    <row r="124" spans="1:23" x14ac:dyDescent="0.35">
      <c r="A124" s="59">
        <f t="shared" si="4"/>
        <v>123</v>
      </c>
      <c r="B124" s="62" t="s">
        <v>193</v>
      </c>
      <c r="C124" s="62" t="s">
        <v>194</v>
      </c>
      <c r="D124" s="59" t="s">
        <v>13</v>
      </c>
      <c r="E124" s="60">
        <v>1468</v>
      </c>
      <c r="F124" s="61" t="s">
        <v>14</v>
      </c>
      <c r="G124" s="62" t="s">
        <v>24</v>
      </c>
      <c r="H124" s="63" cm="1">
        <f t="array" ref="H124">_xlfn.SWITCH(F124,"Early engagement", 10%,"Qualified lead/Tender in progress", 30%, "Proposal/tender submitted", 50%,"Negotiation stage", 70%,"Verbal commitment", 85%,"Contract signed/PO Issued", 100%,"Lost/No-Go", 0,"")</f>
        <v>1</v>
      </c>
      <c r="I124" s="64">
        <f t="shared" ref="I124:I149" si="6">SUM(E124*H124)</f>
        <v>1468</v>
      </c>
      <c r="J124" s="65">
        <v>1468</v>
      </c>
      <c r="K124" s="62" t="s">
        <v>25</v>
      </c>
    </row>
    <row r="125" spans="1:23" x14ac:dyDescent="0.35">
      <c r="A125" s="59">
        <f t="shared" si="4"/>
        <v>124</v>
      </c>
      <c r="B125" s="59" t="s">
        <v>195</v>
      </c>
      <c r="C125" s="59" t="s">
        <v>196</v>
      </c>
      <c r="D125" s="59" t="s">
        <v>13</v>
      </c>
      <c r="E125" s="75">
        <v>21000</v>
      </c>
      <c r="F125" s="61" t="s">
        <v>14</v>
      </c>
      <c r="G125" s="62" t="s">
        <v>24</v>
      </c>
      <c r="H125" s="63" cm="1">
        <f t="array" ref="H125">_xlfn.SWITCH(F125,"Early engagement", 10%,"Qualified lead/Tender in progress", 30%, "Proposal/tender submitted", 50%,"Negotiation stage", 70%,"Verbal commitment", 85%,"Contract signed/PO Issued", 100%,"Lost/No-Go", 0,"")</f>
        <v>1</v>
      </c>
      <c r="I125" s="64">
        <f t="shared" si="6"/>
        <v>21000</v>
      </c>
      <c r="J125" s="65">
        <v>24000</v>
      </c>
      <c r="K125" s="62" t="s">
        <v>25</v>
      </c>
    </row>
    <row r="126" spans="1:23" s="2" customFormat="1" hidden="1" x14ac:dyDescent="0.35">
      <c r="A126" s="3">
        <f t="shared" si="4"/>
        <v>125</v>
      </c>
      <c r="B126" s="5" t="s">
        <v>87</v>
      </c>
      <c r="C126" s="5" t="s">
        <v>197</v>
      </c>
      <c r="D126" s="3" t="s">
        <v>13</v>
      </c>
      <c r="E126" s="23">
        <v>21000</v>
      </c>
      <c r="F126" s="5" t="s">
        <v>31</v>
      </c>
      <c r="G126" s="5" t="s">
        <v>19</v>
      </c>
      <c r="H126" s="24" cm="1">
        <f t="array" ref="H126">_xlfn.SWITCH(F126,"Early engagement", 10%,"Qualified lead/Tender in progress", 30%, "Proposal/tender submitted", 50%,"Negotiation stage", 70%,"Verbal commitment", 85%,"Contract signed/PO Issued", 100%,"Lost/No-Go", 0,"")</f>
        <v>0</v>
      </c>
      <c r="I126" s="25">
        <f t="shared" si="6"/>
        <v>0</v>
      </c>
      <c r="J126" s="27"/>
      <c r="K126" s="5" t="s">
        <v>16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5">
      <c r="A127" s="59">
        <f t="shared" si="4"/>
        <v>126</v>
      </c>
      <c r="B127" s="76" t="s">
        <v>87</v>
      </c>
      <c r="C127" s="76" t="s">
        <v>149</v>
      </c>
      <c r="D127" s="77" t="s">
        <v>13</v>
      </c>
      <c r="E127" s="78">
        <v>160000</v>
      </c>
      <c r="F127" s="76" t="s">
        <v>61</v>
      </c>
      <c r="G127" s="76" t="s">
        <v>24</v>
      </c>
      <c r="H127" s="79" cm="1">
        <f t="array" ref="H127">_xlfn.SWITCH(F127,"Early engagement", 10%,"Qualified lead/Tender in progress", 30%, "Proposal/tender submitted", 50%,"Negotiation stage", 70%,"Verbal commitment", 85%,"Contract signed/PO Issued", 100%,"Lost/No-Go", 0,"")</f>
        <v>0.5</v>
      </c>
      <c r="I127" s="80">
        <f t="shared" si="6"/>
        <v>80000</v>
      </c>
      <c r="J127" s="81"/>
      <c r="K127" s="77" t="s">
        <v>16</v>
      </c>
    </row>
    <row r="128" spans="1:23" ht="25" x14ac:dyDescent="0.25">
      <c r="A128" s="59">
        <f t="shared" si="4"/>
        <v>127</v>
      </c>
      <c r="B128" s="59" t="s">
        <v>198</v>
      </c>
      <c r="C128" s="59" t="s">
        <v>199</v>
      </c>
      <c r="D128" s="82" t="s">
        <v>13</v>
      </c>
      <c r="E128" s="65">
        <v>21500</v>
      </c>
      <c r="F128" s="62" t="s">
        <v>61</v>
      </c>
      <c r="G128" s="62" t="s">
        <v>24</v>
      </c>
      <c r="H128" s="63" cm="1">
        <f t="array" ref="H128">_xlfn.SWITCH(F128,"Early engagement", 10%,"Qualified lead/Tender in progress", 30%, "Proposal/tender submitted", 50%,"Negotiation stage", 70%,"Verbal commitment", 85%,"Contract signed/PO Issued", 100%,"Lost/No-Go", 0,"")</f>
        <v>0.5</v>
      </c>
      <c r="I128" s="64">
        <f t="shared" si="6"/>
        <v>10750</v>
      </c>
      <c r="J128" s="65"/>
      <c r="K128" s="59" t="s">
        <v>25</v>
      </c>
    </row>
    <row r="129" spans="1:23" x14ac:dyDescent="0.25">
      <c r="A129" s="59">
        <f t="shared" si="4"/>
        <v>128</v>
      </c>
      <c r="B129" s="62" t="s">
        <v>200</v>
      </c>
      <c r="C129" s="62" t="s">
        <v>167</v>
      </c>
      <c r="D129" s="82" t="s">
        <v>13</v>
      </c>
      <c r="E129" s="60">
        <v>40000</v>
      </c>
      <c r="F129" s="61" t="s">
        <v>14</v>
      </c>
      <c r="G129" s="62" t="s">
        <v>19</v>
      </c>
      <c r="H129" s="63" cm="1">
        <f t="array" ref="H129">_xlfn.SWITCH(F129,"Early engagement", 10%,"Qualified lead/Tender in progress", 30%, "Proposal/tender submitted", 50%,"Negotiation stage", 70%,"Verbal commitment", 85%,"Contract signed/PO Issued", 100%,"Lost/No-Go", 0,"")</f>
        <v>1</v>
      </c>
      <c r="I129" s="64">
        <f t="shared" si="6"/>
        <v>40000</v>
      </c>
      <c r="J129" s="65"/>
      <c r="K129" s="59"/>
    </row>
    <row r="130" spans="1:23" x14ac:dyDescent="0.25">
      <c r="A130" s="59">
        <f t="shared" ref="A130:A134" si="7">A129+1</f>
        <v>129</v>
      </c>
      <c r="B130" s="62" t="s">
        <v>200</v>
      </c>
      <c r="C130" s="62" t="s">
        <v>201</v>
      </c>
      <c r="D130" s="82" t="s">
        <v>13</v>
      </c>
      <c r="E130" s="60">
        <v>21000</v>
      </c>
      <c r="F130" s="62" t="s">
        <v>61</v>
      </c>
      <c r="G130" s="62" t="s">
        <v>21</v>
      </c>
      <c r="H130" s="63" cm="1">
        <f t="array" ref="H130">_xlfn.SWITCH(F130,"Early engagement", 10%,"Qualified lead/Tender in progress", 30%, "Proposal/tender submitted", 50%,"Negotiation stage", 70%,"Verbal commitment", 85%,"Contract signed/PO Issued", 100%,"Lost/No-Go", 0,"")</f>
        <v>0.5</v>
      </c>
      <c r="I130" s="64">
        <f t="shared" si="6"/>
        <v>10500</v>
      </c>
      <c r="J130" s="65"/>
      <c r="K130" s="59"/>
    </row>
    <row r="131" spans="1:23" x14ac:dyDescent="0.25">
      <c r="A131" s="59">
        <f t="shared" si="7"/>
        <v>130</v>
      </c>
      <c r="B131" s="62" t="s">
        <v>200</v>
      </c>
      <c r="C131" s="62" t="s">
        <v>202</v>
      </c>
      <c r="D131" s="82" t="s">
        <v>13</v>
      </c>
      <c r="E131" s="60">
        <v>500000</v>
      </c>
      <c r="F131" s="62" t="s">
        <v>61</v>
      </c>
      <c r="G131" s="62" t="s">
        <v>21</v>
      </c>
      <c r="H131" s="63" cm="1">
        <f t="array" ref="H131">_xlfn.SWITCH(F131,"Early engagement", 10%,"Qualified lead/Tender in progress", 30%, "Proposal/tender submitted", 50%,"Negotiation stage", 70%,"Verbal commitment", 85%,"Contract signed/PO Issued", 100%,"Lost/No-Go", 0,"")</f>
        <v>0.5</v>
      </c>
      <c r="I131" s="64">
        <f t="shared" si="6"/>
        <v>250000</v>
      </c>
      <c r="J131" s="65"/>
      <c r="K131" s="59"/>
    </row>
    <row r="132" spans="1:23" ht="14.5" x14ac:dyDescent="0.35">
      <c r="A132" s="59">
        <f t="shared" si="7"/>
        <v>131</v>
      </c>
      <c r="B132" s="83" t="s">
        <v>203</v>
      </c>
      <c r="C132" s="84" t="s">
        <v>204</v>
      </c>
      <c r="D132" s="85" t="s">
        <v>13</v>
      </c>
      <c r="E132" s="86">
        <v>1625</v>
      </c>
      <c r="F132" s="87" t="s">
        <v>14</v>
      </c>
      <c r="G132" s="76" t="s">
        <v>24</v>
      </c>
      <c r="H132" s="63" cm="1">
        <f t="array" ref="H132">_xlfn.SWITCH(F132,"Early engagement", 10%,"Qualified lead/Tender in progress", 30%, "Proposal/tender submitted", 50%,"Negotiation stage", 70%,"Verbal commitment", 85%,"Contract signed/PO Issued", 100%,"Lost/No-Go", 0,"")</f>
        <v>1</v>
      </c>
      <c r="I132" s="64">
        <f t="shared" si="6"/>
        <v>1625</v>
      </c>
      <c r="J132" s="81">
        <v>1625</v>
      </c>
      <c r="K132" s="77" t="s">
        <v>25</v>
      </c>
    </row>
    <row r="133" spans="1:23" ht="14.5" x14ac:dyDescent="0.35">
      <c r="A133" s="59">
        <f t="shared" si="7"/>
        <v>132</v>
      </c>
      <c r="B133" s="83" t="s">
        <v>205</v>
      </c>
      <c r="C133" s="84" t="s">
        <v>206</v>
      </c>
      <c r="D133" s="85" t="s">
        <v>13</v>
      </c>
      <c r="E133" s="86">
        <v>367200</v>
      </c>
      <c r="F133" s="87" t="s">
        <v>14</v>
      </c>
      <c r="G133" s="76" t="s">
        <v>19</v>
      </c>
      <c r="H133" s="63" cm="1">
        <f t="array" ref="H133">_xlfn.SWITCH(F133,"Early engagement", 10%,"Qualified lead/Tender in progress", 30%, "Proposal/tender submitted", 50%,"Negotiation stage", 70%,"Verbal commitment", 85%,"Contract signed/PO Issued", 100%,"Lost/No-Go", 0,"")</f>
        <v>1</v>
      </c>
      <c r="I133" s="64">
        <f t="shared" si="6"/>
        <v>367200</v>
      </c>
      <c r="J133" s="81">
        <v>367200</v>
      </c>
      <c r="K133" s="77" t="s">
        <v>25</v>
      </c>
    </row>
    <row r="134" spans="1:23" ht="29" x14ac:dyDescent="0.35">
      <c r="A134" s="59">
        <f t="shared" si="7"/>
        <v>133</v>
      </c>
      <c r="B134" s="83" t="s">
        <v>82</v>
      </c>
      <c r="C134" s="84" t="s">
        <v>207</v>
      </c>
      <c r="D134" s="85" t="s">
        <v>13</v>
      </c>
      <c r="E134" s="86">
        <v>1650000</v>
      </c>
      <c r="F134" s="76" t="s">
        <v>61</v>
      </c>
      <c r="G134" s="76" t="s">
        <v>19</v>
      </c>
      <c r="H134" s="63" cm="1">
        <f t="array" ref="H134">_xlfn.SWITCH(F134,"Early engagement", 10%,"Qualified lead/Tender in progress", 30%, "Proposal/tender submitted", 50%,"Negotiation stage", 70%,"Verbal commitment", 85%,"Contract signed/PO Issued", 100%,"Lost/No-Go", 0,"")</f>
        <v>0.5</v>
      </c>
      <c r="I134" s="64">
        <f t="shared" si="6"/>
        <v>825000</v>
      </c>
      <c r="J134" s="81"/>
      <c r="K134" s="77"/>
    </row>
    <row r="135" spans="1:23" s="2" customFormat="1" ht="14.5" hidden="1" x14ac:dyDescent="0.35">
      <c r="A135" s="3">
        <f t="shared" ref="A135:A148" si="8">A134+1</f>
        <v>134</v>
      </c>
      <c r="B135" s="16" t="s">
        <v>208</v>
      </c>
      <c r="C135" s="14" t="s">
        <v>209</v>
      </c>
      <c r="D135" s="35" t="s">
        <v>13</v>
      </c>
      <c r="E135" s="15">
        <v>3000000</v>
      </c>
      <c r="F135" s="39" t="s">
        <v>27</v>
      </c>
      <c r="G135" s="29" t="s">
        <v>21</v>
      </c>
      <c r="H135" s="24" cm="1">
        <f t="array" ref="H135">_xlfn.SWITCH(F135,"Early engagement", 10%,"Qualified lead/Tender in progress", 30%, "Proposal/tender submitted", 50%,"Negotiation stage", 70%,"Verbal commitment", 85%,"Contract signed/PO Issued", 100%,"Lost/No-Go", 0,"")</f>
        <v>0.3</v>
      </c>
      <c r="I135" s="25">
        <f t="shared" si="6"/>
        <v>900000</v>
      </c>
      <c r="J135" s="38"/>
      <c r="K135" s="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5" x14ac:dyDescent="0.35">
      <c r="A136" s="59">
        <f t="shared" si="8"/>
        <v>135</v>
      </c>
      <c r="B136" s="88" t="s">
        <v>210</v>
      </c>
      <c r="C136" s="89" t="s">
        <v>211</v>
      </c>
      <c r="D136" s="82" t="s">
        <v>13</v>
      </c>
      <c r="E136" s="90">
        <v>18252.400000000001</v>
      </c>
      <c r="F136" s="61" t="s">
        <v>14</v>
      </c>
      <c r="G136" s="62" t="s">
        <v>15</v>
      </c>
      <c r="H136" s="63" cm="1">
        <f t="array" ref="H136">_xlfn.SWITCH(F136,"Early engagement", 10%,"Qualified lead/Tender in progress", 30%, "Proposal/tender submitted", 50%,"Negotiation stage", 70%,"Verbal commitment", 85%,"Contract signed/PO Issued", 100%,"Lost/No-Go", 0,"")</f>
        <v>1</v>
      </c>
      <c r="I136" s="64">
        <f t="shared" si="6"/>
        <v>18252.400000000001</v>
      </c>
      <c r="J136" s="65">
        <v>18252</v>
      </c>
      <c r="K136" s="59" t="s">
        <v>25</v>
      </c>
    </row>
    <row r="137" spans="1:23" ht="29" x14ac:dyDescent="0.35">
      <c r="A137" s="59">
        <f t="shared" si="8"/>
        <v>136</v>
      </c>
      <c r="B137" s="88" t="s">
        <v>212</v>
      </c>
      <c r="C137" s="89" t="s">
        <v>213</v>
      </c>
      <c r="D137" s="82" t="s">
        <v>13</v>
      </c>
      <c r="E137" s="90">
        <v>49500</v>
      </c>
      <c r="F137" s="61" t="s">
        <v>14</v>
      </c>
      <c r="G137" s="62" t="s">
        <v>19</v>
      </c>
      <c r="H137" s="63" cm="1">
        <f t="array" ref="H137">_xlfn.SWITCH(F137,"Early engagement", 10%,"Qualified lead/Tender in progress", 30%, "Proposal/tender submitted", 50%,"Negotiation stage", 70%,"Verbal commitment", 85%,"Contract signed/PO Issued", 100%,"Lost/No-Go", 0,"")</f>
        <v>1</v>
      </c>
      <c r="I137" s="64">
        <f t="shared" si="6"/>
        <v>49500</v>
      </c>
      <c r="J137" s="65">
        <v>49500</v>
      </c>
      <c r="K137" s="59"/>
    </row>
    <row r="138" spans="1:23" ht="14.5" x14ac:dyDescent="0.35">
      <c r="A138" s="59">
        <f t="shared" si="8"/>
        <v>137</v>
      </c>
      <c r="B138" s="88" t="s">
        <v>214</v>
      </c>
      <c r="C138" s="89" t="s">
        <v>215</v>
      </c>
      <c r="D138" s="82" t="s">
        <v>13</v>
      </c>
      <c r="E138" s="90">
        <v>21000</v>
      </c>
      <c r="F138" s="91" t="s">
        <v>61</v>
      </c>
      <c r="G138" s="62" t="s">
        <v>21</v>
      </c>
      <c r="H138" s="63" cm="1">
        <f t="array" ref="H138">_xlfn.SWITCH(F138,"Early engagement", 10%,"Qualified lead/Tender in progress", 30%, "Proposal/tender submitted", 50%,"Negotiation stage", 70%,"Verbal commitment", 85%,"Contract signed/PO Issued", 100%,"Lost/No-Go", 0,"")</f>
        <v>0.5</v>
      </c>
      <c r="I138" s="64">
        <f t="shared" si="6"/>
        <v>10500</v>
      </c>
      <c r="J138" s="65"/>
      <c r="K138" s="59"/>
    </row>
    <row r="139" spans="1:23" ht="29" x14ac:dyDescent="0.35">
      <c r="A139" s="59">
        <f t="shared" si="8"/>
        <v>138</v>
      </c>
      <c r="B139" s="92" t="s">
        <v>214</v>
      </c>
      <c r="C139" s="89" t="s">
        <v>216</v>
      </c>
      <c r="D139" s="82" t="s">
        <v>13</v>
      </c>
      <c r="E139" s="90">
        <v>7800000</v>
      </c>
      <c r="F139" s="91" t="s">
        <v>61</v>
      </c>
      <c r="G139" s="62" t="s">
        <v>19</v>
      </c>
      <c r="H139" s="63" cm="1">
        <f t="array" ref="H139">_xlfn.SWITCH(F139,"Early engagement", 10%,"Qualified lead/Tender in progress", 30%, "Proposal/tender submitted", 50%,"Negotiation stage", 70%,"Verbal commitment", 85%,"Contract signed/PO Issued", 100%,"Lost/No-Go", 0,"")</f>
        <v>0.5</v>
      </c>
      <c r="I139" s="64">
        <f t="shared" si="6"/>
        <v>3900000</v>
      </c>
      <c r="J139" s="65"/>
      <c r="K139" s="59"/>
    </row>
    <row r="140" spans="1:23" s="2" customFormat="1" ht="14.5" hidden="1" x14ac:dyDescent="0.35">
      <c r="A140" s="3">
        <f t="shared" si="8"/>
        <v>139</v>
      </c>
      <c r="B140" s="17" t="s">
        <v>111</v>
      </c>
      <c r="C140" s="12" t="s">
        <v>217</v>
      </c>
      <c r="D140" s="34" t="s">
        <v>13</v>
      </c>
      <c r="E140" s="13">
        <v>60000</v>
      </c>
      <c r="F140" s="40" t="s">
        <v>27</v>
      </c>
      <c r="G140" s="5" t="s">
        <v>19</v>
      </c>
      <c r="H140" s="24" cm="1">
        <f t="array" ref="H140">_xlfn.SWITCH(F140,"Early engagement", 10%,"Qualified lead/Tender in progress", 30%, "Proposal/tender submitted", 50%,"Negotiation stage", 70%,"Verbal commitment", 85%,"Contract signed/PO Issued", 100%,"Lost/No-Go", 0,"")</f>
        <v>0.3</v>
      </c>
      <c r="I140" s="25">
        <f t="shared" si="6"/>
        <v>18000</v>
      </c>
      <c r="J140" s="27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s="2" customFormat="1" ht="14.5" hidden="1" x14ac:dyDescent="0.35">
      <c r="A141" s="3">
        <f t="shared" si="8"/>
        <v>140</v>
      </c>
      <c r="B141" s="17" t="s">
        <v>214</v>
      </c>
      <c r="C141" s="12" t="s">
        <v>218</v>
      </c>
      <c r="D141" s="34" t="s">
        <v>13</v>
      </c>
      <c r="E141" s="13">
        <v>20000</v>
      </c>
      <c r="F141" s="40" t="s">
        <v>27</v>
      </c>
      <c r="G141" s="5" t="s">
        <v>21</v>
      </c>
      <c r="H141" s="24" cm="1">
        <f t="array" ref="H141">_xlfn.SWITCH(F141,"Early engagement", 10%,"Qualified lead/Tender in progress", 30%, "Proposal/tender submitted", 50%,"Negotiation stage", 70%,"Verbal commitment", 85%,"Contract signed/PO Issued", 100%,"Lost/No-Go", 0,"")</f>
        <v>0.3</v>
      </c>
      <c r="I141" s="25">
        <f t="shared" si="6"/>
        <v>6000</v>
      </c>
      <c r="J141" s="27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29" x14ac:dyDescent="0.35">
      <c r="A142" s="59">
        <f t="shared" si="8"/>
        <v>141</v>
      </c>
      <c r="B142" s="88" t="s">
        <v>219</v>
      </c>
      <c r="C142" s="89" t="s">
        <v>220</v>
      </c>
      <c r="D142" s="82" t="s">
        <v>13</v>
      </c>
      <c r="E142" s="90">
        <v>48000</v>
      </c>
      <c r="F142" s="91" t="s">
        <v>48</v>
      </c>
      <c r="G142" s="62" t="s">
        <v>19</v>
      </c>
      <c r="H142" s="63" cm="1">
        <f t="array" ref="H142">_xlfn.SWITCH(F142,"Early engagement", 10%,"Qualified lead/Tender in progress", 30%, "Proposal/tender submitted", 50%,"Negotiation stage", 70%,"Verbal commitment", 85%,"Contract signed/PO Issued", 100%,"Lost/No-Go", 0,"")</f>
        <v>0.7</v>
      </c>
      <c r="I142" s="64">
        <f t="shared" si="6"/>
        <v>33600</v>
      </c>
      <c r="J142" s="65"/>
      <c r="K142" s="59"/>
    </row>
    <row r="143" spans="1:23" ht="29" x14ac:dyDescent="0.35">
      <c r="A143" s="59">
        <f t="shared" si="8"/>
        <v>142</v>
      </c>
      <c r="B143" s="88" t="s">
        <v>219</v>
      </c>
      <c r="C143" s="89" t="s">
        <v>221</v>
      </c>
      <c r="D143" s="82" t="s">
        <v>13</v>
      </c>
      <c r="E143" s="90">
        <v>21000</v>
      </c>
      <c r="F143" s="91" t="s">
        <v>48</v>
      </c>
      <c r="G143" s="62" t="s">
        <v>19</v>
      </c>
      <c r="H143" s="63" cm="1">
        <f t="array" ref="H143">_xlfn.SWITCH(F143,"Early engagement", 10%,"Qualified lead/Tender in progress", 30%, "Proposal/tender submitted", 50%,"Negotiation stage", 70%,"Verbal commitment", 85%,"Contract signed/PO Issued", 100%,"Lost/No-Go", 0,"")</f>
        <v>0.7</v>
      </c>
      <c r="I143" s="64">
        <f t="shared" si="6"/>
        <v>14699.999999999998</v>
      </c>
      <c r="J143" s="65"/>
      <c r="K143" s="59"/>
    </row>
    <row r="144" spans="1:23" ht="29" x14ac:dyDescent="0.35">
      <c r="A144" s="59">
        <f t="shared" si="8"/>
        <v>143</v>
      </c>
      <c r="B144" s="84" t="s">
        <v>222</v>
      </c>
      <c r="C144" s="84" t="s">
        <v>157</v>
      </c>
      <c r="D144" s="85" t="s">
        <v>13</v>
      </c>
      <c r="E144" s="86">
        <v>120000</v>
      </c>
      <c r="F144" s="76" t="s">
        <v>61</v>
      </c>
      <c r="G144" s="76" t="s">
        <v>21</v>
      </c>
      <c r="H144" s="79" cm="1">
        <f t="array" ref="H144">_xlfn.SWITCH(F144,"Early engagement", 10%,"Qualified lead/Tender in progress", 30%, "Proposal/tender submitted", 50%,"Negotiation stage", 70%,"Verbal commitment", 85%,"Contract signed/PO Issued", 100%,"Lost/No-Go", 0,"")</f>
        <v>0.5</v>
      </c>
      <c r="I144" s="80">
        <f t="shared" si="6"/>
        <v>60000</v>
      </c>
      <c r="J144" s="81"/>
      <c r="K144" s="77"/>
    </row>
    <row r="145" spans="1:24" ht="14.5" x14ac:dyDescent="0.35">
      <c r="A145" s="59">
        <f t="shared" si="8"/>
        <v>144</v>
      </c>
      <c r="B145" s="89" t="s">
        <v>223</v>
      </c>
      <c r="C145" s="89" t="s">
        <v>204</v>
      </c>
      <c r="D145" s="82" t="s">
        <v>13</v>
      </c>
      <c r="E145" s="90">
        <v>8000</v>
      </c>
      <c r="F145" s="62" t="s">
        <v>61</v>
      </c>
      <c r="G145" s="62" t="s">
        <v>19</v>
      </c>
      <c r="H145" s="63" cm="1">
        <f t="array" ref="H145">_xlfn.SWITCH(F145,"Early engagement", 10%,"Qualified lead/Tender in progress", 30%, "Proposal/tender submitted", 50%,"Negotiation stage", 70%,"Verbal commitment", 85%,"Contract signed/PO Issued", 100%,"Lost/No-Go", 0,"")</f>
        <v>0.5</v>
      </c>
      <c r="I145" s="64">
        <f t="shared" si="6"/>
        <v>4000</v>
      </c>
      <c r="J145" s="65"/>
      <c r="K145" s="59"/>
    </row>
    <row r="146" spans="1:24" ht="14.5" x14ac:dyDescent="0.35">
      <c r="A146" s="59">
        <f t="shared" si="8"/>
        <v>145</v>
      </c>
      <c r="B146" s="89" t="s">
        <v>224</v>
      </c>
      <c r="C146" s="89" t="s">
        <v>225</v>
      </c>
      <c r="D146" s="82" t="s">
        <v>13</v>
      </c>
      <c r="E146" s="90">
        <v>51673.23</v>
      </c>
      <c r="F146" s="61" t="s">
        <v>14</v>
      </c>
      <c r="G146" s="62" t="s">
        <v>24</v>
      </c>
      <c r="H146" s="63" cm="1">
        <f t="array" ref="H146">_xlfn.SWITCH(F146,"Early engagement", 10%,"Qualified lead/Tender in progress", 30%, "Proposal/tender submitted", 50%,"Negotiation stage", 70%,"Verbal commitment", 85%,"Contract signed/PO Issued", 100%,"Lost/No-Go", 0,"")</f>
        <v>1</v>
      </c>
      <c r="I146" s="64">
        <f t="shared" si="6"/>
        <v>51673.23</v>
      </c>
      <c r="J146" s="64">
        <v>51673.23</v>
      </c>
      <c r="K146" s="59" t="s">
        <v>25</v>
      </c>
    </row>
    <row r="147" spans="1:24" s="2" customFormat="1" ht="14.5" hidden="1" x14ac:dyDescent="0.35">
      <c r="A147" s="4">
        <v>146</v>
      </c>
      <c r="B147" s="42" t="s">
        <v>208</v>
      </c>
      <c r="C147" s="42" t="s">
        <v>226</v>
      </c>
      <c r="D147" s="43" t="s">
        <v>13</v>
      </c>
      <c r="E147" s="44">
        <v>3000000</v>
      </c>
      <c r="F147" s="31" t="s">
        <v>27</v>
      </c>
      <c r="G147" s="31" t="s">
        <v>19</v>
      </c>
      <c r="H147" s="45" cm="1">
        <f t="array" ref="H147">_xlfn.SWITCH(F147,"Early engagement", 10%,"Qualified lead/Tender in progress", 30%, "Proposal/tender submitted", 50%,"Negotiation stage", 70%,"Verbal commitment", 85%,"Contract signed/PO Issued", 100%,"Lost/No-Go", 0,"")</f>
        <v>0.3</v>
      </c>
      <c r="I147" s="46">
        <f t="shared" si="6"/>
        <v>900000</v>
      </c>
      <c r="J147" s="47"/>
      <c r="K147" s="48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4" ht="14.5" x14ac:dyDescent="0.35">
      <c r="A148" s="93">
        <f t="shared" si="8"/>
        <v>147</v>
      </c>
      <c r="B148" s="84" t="s">
        <v>227</v>
      </c>
      <c r="C148" s="84" t="s">
        <v>80</v>
      </c>
      <c r="D148" s="85" t="s">
        <v>13</v>
      </c>
      <c r="E148" s="86">
        <v>21600</v>
      </c>
      <c r="F148" s="76" t="s">
        <v>61</v>
      </c>
      <c r="G148" s="76" t="s">
        <v>21</v>
      </c>
      <c r="H148" s="79" cm="1">
        <f t="array" ref="H148">_xlfn.SWITCH(F148,"Early engagement", 10%,"Qualified lead/Tender in progress", 30%, "Proposal/tender submitted", 50%,"Negotiation stage", 70%,"Verbal commitment", 85%,"Contract signed/PO Issued", 100%,"Lost/No-Go", 0,"")</f>
        <v>0.5</v>
      </c>
      <c r="I148" s="80">
        <f t="shared" si="6"/>
        <v>10800</v>
      </c>
      <c r="J148" s="81"/>
      <c r="K148" s="77" t="s">
        <v>16</v>
      </c>
    </row>
    <row r="149" spans="1:24" ht="14.5" x14ac:dyDescent="0.35">
      <c r="A149" s="59">
        <v>148</v>
      </c>
      <c r="B149" s="89" t="s">
        <v>228</v>
      </c>
      <c r="C149" s="89" t="s">
        <v>151</v>
      </c>
      <c r="D149" s="82" t="s">
        <v>13</v>
      </c>
      <c r="E149" s="90">
        <v>49000</v>
      </c>
      <c r="F149" s="62" t="s">
        <v>61</v>
      </c>
      <c r="G149" s="62" t="s">
        <v>21</v>
      </c>
      <c r="H149" s="63" cm="1">
        <f t="array" ref="H149">_xlfn.SWITCH(F149,"Early engagement", 10%,"Qualified lead/Tender in progress", 30%, "Proposal/tender submitted", 50%,"Negotiation stage", 70%,"Verbal commitment", 85%,"Contract signed/PO Issued", 100%,"Lost/No-Go", 0,"")</f>
        <v>0.5</v>
      </c>
      <c r="I149" s="80">
        <f t="shared" si="6"/>
        <v>24500</v>
      </c>
      <c r="J149" s="65"/>
      <c r="K149" s="59"/>
    </row>
    <row r="150" spans="1:24" ht="14.5" x14ac:dyDescent="0.35">
      <c r="A150" s="58"/>
      <c r="B150" s="94"/>
      <c r="C150" s="94"/>
      <c r="D150" s="95"/>
      <c r="E150" s="96"/>
      <c r="F150" s="97"/>
      <c r="G150" s="97"/>
      <c r="H150" s="98"/>
      <c r="I150" s="99"/>
      <c r="J150" s="100"/>
      <c r="K150" s="58"/>
    </row>
    <row r="151" spans="1:24" ht="14.5" x14ac:dyDescent="0.35">
      <c r="A151" s="58"/>
      <c r="B151" s="94"/>
      <c r="C151" s="94"/>
      <c r="D151" s="95"/>
      <c r="E151" s="96"/>
      <c r="F151" s="97"/>
      <c r="G151" s="97"/>
      <c r="H151" s="98"/>
      <c r="I151" s="99"/>
      <c r="J151" s="100"/>
      <c r="K151" s="58"/>
    </row>
    <row r="152" spans="1:24" ht="14.5" x14ac:dyDescent="0.35">
      <c r="A152" s="58"/>
      <c r="B152" s="94"/>
      <c r="C152" s="94"/>
      <c r="D152" s="95"/>
      <c r="E152" s="96"/>
      <c r="F152" s="97"/>
      <c r="G152" s="97"/>
      <c r="H152" s="98"/>
      <c r="I152" s="99"/>
      <c r="J152" s="100"/>
      <c r="K152" s="58"/>
    </row>
    <row r="153" spans="1:24" ht="14.5" x14ac:dyDescent="0.35">
      <c r="A153" s="58"/>
      <c r="B153" s="94"/>
      <c r="C153" s="94"/>
      <c r="D153" s="95"/>
      <c r="E153" s="96"/>
      <c r="F153" s="97"/>
      <c r="G153" s="97"/>
      <c r="H153" s="98"/>
      <c r="I153" s="99"/>
      <c r="J153" s="100"/>
      <c r="K153" s="58"/>
    </row>
    <row r="154" spans="1:24" ht="14.5" x14ac:dyDescent="0.35">
      <c r="A154" s="58"/>
      <c r="B154" s="94"/>
      <c r="C154" s="94"/>
      <c r="D154" s="95"/>
      <c r="E154" s="96"/>
      <c r="F154" s="97"/>
      <c r="G154" s="97"/>
      <c r="H154" s="98"/>
      <c r="I154" s="99"/>
      <c r="J154" s="100"/>
      <c r="K154" s="58"/>
    </row>
    <row r="155" spans="1:24" ht="14.5" x14ac:dyDescent="0.35">
      <c r="A155" s="58"/>
      <c r="B155" s="94"/>
      <c r="C155" s="94"/>
      <c r="D155" s="95"/>
      <c r="E155" s="96"/>
      <c r="F155" s="97"/>
      <c r="G155" s="97"/>
      <c r="H155" s="98"/>
      <c r="I155" s="99"/>
      <c r="J155" s="100"/>
      <c r="K155" s="58"/>
    </row>
    <row r="156" spans="1:24" s="109" customFormat="1" ht="13" x14ac:dyDescent="0.3">
      <c r="A156" s="101"/>
      <c r="B156" s="97"/>
      <c r="C156" s="97"/>
      <c r="D156" s="101"/>
      <c r="E156" s="102">
        <f>SUM(E3:E149)-E52-E37-E36-E21-E9-E16-E22-E23-E126</f>
        <v>55766386.749999993</v>
      </c>
      <c r="F156" s="101"/>
      <c r="G156" s="101" t="s">
        <v>229</v>
      </c>
      <c r="H156" s="103"/>
      <c r="I156" s="104">
        <f>SUM(I3:I148)</f>
        <v>13002807.75</v>
      </c>
      <c r="J156" s="105">
        <f>SUM(J2:J149)</f>
        <v>3247076.23</v>
      </c>
      <c r="K156" s="106">
        <f>SUM(K82:K122)</f>
        <v>0</v>
      </c>
      <c r="L156" s="107"/>
      <c r="M156" s="103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</row>
    <row r="157" spans="1:24" x14ac:dyDescent="0.25">
      <c r="A157" s="6"/>
      <c r="B157" s="6"/>
      <c r="C157" s="6"/>
      <c r="D157" s="6"/>
      <c r="E157" s="110"/>
      <c r="F157" s="58"/>
      <c r="G157" s="6"/>
      <c r="H157" s="6"/>
      <c r="I157" s="108"/>
      <c r="J157" s="111"/>
      <c r="K157" s="112" t="s">
        <v>230</v>
      </c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</row>
    <row r="158" spans="1:24" ht="14" x14ac:dyDescent="0.25">
      <c r="A158" s="6"/>
      <c r="B158" s="6"/>
      <c r="C158" s="6"/>
      <c r="D158" s="113"/>
      <c r="E158" s="114"/>
      <c r="F158" s="58"/>
      <c r="G158" s="6"/>
      <c r="H158" s="7" t="s">
        <v>231</v>
      </c>
      <c r="I158" s="115">
        <f>E156</f>
        <v>55766386.749999993</v>
      </c>
      <c r="J158" s="111"/>
      <c r="K158" s="112" t="s">
        <v>230</v>
      </c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</row>
    <row r="159" spans="1:24" ht="14" x14ac:dyDescent="0.3">
      <c r="A159" s="6"/>
      <c r="B159" s="6"/>
      <c r="C159" s="6"/>
      <c r="D159" s="6"/>
      <c r="E159" s="110"/>
      <c r="F159" s="58"/>
      <c r="G159" s="6"/>
      <c r="H159" s="7" t="s">
        <v>232</v>
      </c>
      <c r="I159" s="116">
        <f>I156</f>
        <v>13002807.75</v>
      </c>
      <c r="J159" s="111" t="s">
        <v>230</v>
      </c>
      <c r="K159" s="112" t="s">
        <v>230</v>
      </c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</row>
    <row r="160" spans="1:24" ht="14" x14ac:dyDescent="0.3">
      <c r="A160" s="6"/>
      <c r="B160" s="6"/>
      <c r="C160" s="6"/>
      <c r="D160" s="6"/>
      <c r="E160" s="110"/>
      <c r="F160" s="58"/>
      <c r="G160" s="6"/>
      <c r="H160" s="7" t="s">
        <v>233</v>
      </c>
      <c r="I160" s="117">
        <f>J156</f>
        <v>3247076.23</v>
      </c>
      <c r="J160" s="111"/>
      <c r="K160" s="112" t="s">
        <v>230</v>
      </c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</row>
    <row r="161" spans="1:24" ht="14" x14ac:dyDescent="0.3">
      <c r="A161" s="6"/>
      <c r="B161" s="6"/>
      <c r="C161" s="6"/>
      <c r="D161" s="6"/>
      <c r="E161" s="110"/>
      <c r="F161" s="58"/>
      <c r="G161" s="6"/>
      <c r="H161" s="41" t="s">
        <v>234</v>
      </c>
      <c r="I161" s="118">
        <f>(J146+J136+J133+J132+J125+J124+J91+J90+J88+J87+J86+J81+J76+J75+J74+J73+J34+J25+J7+J5)</f>
        <v>1396108.23</v>
      </c>
      <c r="J161" s="111"/>
      <c r="K161" s="112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</row>
    <row r="162" spans="1:24" ht="14" x14ac:dyDescent="0.3">
      <c r="A162" s="6"/>
      <c r="B162" s="6"/>
      <c r="C162" s="6"/>
      <c r="D162" s="6"/>
      <c r="E162" s="110"/>
      <c r="F162" s="58"/>
      <c r="G162" s="6"/>
      <c r="H162" s="41" t="s">
        <v>235</v>
      </c>
      <c r="I162" s="119">
        <f>I161/I160</f>
        <v>0.42995856306089864</v>
      </c>
      <c r="J162" s="111"/>
      <c r="K162" s="112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</row>
    <row r="163" spans="1:24" ht="14" x14ac:dyDescent="0.3">
      <c r="A163" s="6"/>
      <c r="B163" s="6"/>
      <c r="C163" s="6"/>
      <c r="D163" s="6"/>
      <c r="E163" s="110"/>
      <c r="F163" s="58"/>
      <c r="G163" s="6"/>
      <c r="H163" s="7" t="s">
        <v>236</v>
      </c>
      <c r="I163" s="120">
        <v>1131500</v>
      </c>
      <c r="J163" s="121"/>
      <c r="K163" s="6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</row>
    <row r="164" spans="1:24" ht="14" x14ac:dyDescent="0.3">
      <c r="A164" s="6"/>
      <c r="B164" s="6"/>
      <c r="C164" s="6"/>
      <c r="D164" s="6"/>
      <c r="E164" s="110"/>
      <c r="F164" s="58"/>
      <c r="G164" s="6"/>
      <c r="H164" s="11" t="s">
        <v>237</v>
      </c>
      <c r="I164" s="122">
        <f>SUM(I159-I160)</f>
        <v>9755731.5199999996</v>
      </c>
      <c r="J164" s="123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</row>
    <row r="165" spans="1:24" x14ac:dyDescent="0.25">
      <c r="A165" s="6"/>
      <c r="B165" s="6"/>
      <c r="C165" s="6"/>
      <c r="D165" s="6"/>
      <c r="E165" s="110"/>
      <c r="F165" s="58"/>
      <c r="G165" s="6"/>
      <c r="H165" s="6"/>
      <c r="I165" s="108"/>
      <c r="J165" s="123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</row>
    <row r="166" spans="1:24" ht="13" x14ac:dyDescent="0.3">
      <c r="A166" s="6"/>
      <c r="B166" s="6"/>
      <c r="C166" s="6"/>
      <c r="D166" s="6"/>
      <c r="E166" s="110"/>
      <c r="F166" s="58"/>
      <c r="G166" s="6"/>
      <c r="H166" s="124" t="s">
        <v>238</v>
      </c>
      <c r="I166" s="125">
        <f>I160/I158</f>
        <v>5.8226405174080967E-2</v>
      </c>
      <c r="J166" s="123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</row>
    <row r="167" spans="1:24" x14ac:dyDescent="0.25">
      <c r="A167" s="58"/>
      <c r="B167" s="58"/>
      <c r="C167" s="58"/>
      <c r="D167" s="95"/>
      <c r="E167" s="100"/>
      <c r="F167" s="58"/>
      <c r="G167" s="58"/>
      <c r="H167" s="126"/>
      <c r="I167" s="58"/>
      <c r="J167" s="100"/>
      <c r="K167" s="58"/>
    </row>
    <row r="168" spans="1:24" x14ac:dyDescent="0.25">
      <c r="A168" s="58"/>
      <c r="B168" s="58"/>
      <c r="C168" s="58"/>
      <c r="D168" s="95"/>
      <c r="E168" s="100"/>
      <c r="F168" s="58"/>
      <c r="G168" s="58"/>
      <c r="H168" s="126"/>
      <c r="I168" s="58"/>
      <c r="J168" s="100"/>
      <c r="K168" s="58"/>
    </row>
    <row r="169" spans="1:24" x14ac:dyDescent="0.25">
      <c r="A169" s="58"/>
      <c r="B169" s="58"/>
      <c r="C169" s="58"/>
      <c r="D169" s="95"/>
      <c r="E169" s="100"/>
      <c r="F169" s="58"/>
      <c r="G169" s="58"/>
      <c r="H169" s="126"/>
      <c r="I169" s="58"/>
      <c r="J169" s="100"/>
      <c r="K169" s="58"/>
    </row>
    <row r="170" spans="1:24" x14ac:dyDescent="0.25">
      <c r="A170" s="58"/>
      <c r="B170" s="58"/>
      <c r="C170" s="58"/>
      <c r="D170" s="95"/>
      <c r="E170" s="100"/>
      <c r="F170" s="58"/>
      <c r="G170" s="58"/>
      <c r="H170" s="126"/>
      <c r="I170" s="58"/>
      <c r="J170" s="100"/>
      <c r="K170" s="58"/>
    </row>
    <row r="171" spans="1:24" x14ac:dyDescent="0.25">
      <c r="A171" s="58"/>
      <c r="B171" s="58"/>
      <c r="C171" s="58"/>
      <c r="D171" s="95"/>
      <c r="E171" s="100"/>
      <c r="F171" s="58"/>
      <c r="G171" s="58"/>
      <c r="H171" s="126"/>
      <c r="I171" s="58"/>
      <c r="J171" s="100"/>
      <c r="K171" s="58"/>
    </row>
    <row r="172" spans="1:24" x14ac:dyDescent="0.25">
      <c r="A172" s="58"/>
      <c r="B172" s="58"/>
      <c r="C172" s="58"/>
      <c r="D172" s="95"/>
      <c r="E172" s="100"/>
      <c r="F172" s="58"/>
      <c r="G172" s="58"/>
      <c r="H172" s="126"/>
      <c r="I172" s="58"/>
      <c r="J172" s="100"/>
      <c r="K172" s="58"/>
    </row>
    <row r="173" spans="1:24" x14ac:dyDescent="0.25">
      <c r="A173" s="58"/>
      <c r="B173" s="58"/>
      <c r="C173" s="58"/>
      <c r="D173" s="95"/>
      <c r="E173" s="100"/>
      <c r="F173" s="58"/>
      <c r="G173" s="58"/>
      <c r="H173" s="126"/>
      <c r="I173" s="58"/>
      <c r="J173" s="100"/>
      <c r="K173" s="58"/>
    </row>
    <row r="174" spans="1:24" x14ac:dyDescent="0.25">
      <c r="A174" s="58"/>
      <c r="B174" s="58"/>
      <c r="C174" s="58"/>
      <c r="D174" s="95"/>
      <c r="E174" s="100"/>
      <c r="F174" s="58"/>
      <c r="G174" s="58"/>
      <c r="H174" s="126"/>
      <c r="I174" s="58"/>
      <c r="J174" s="100"/>
      <c r="K174" s="58"/>
    </row>
    <row r="175" spans="1:24" x14ac:dyDescent="0.25">
      <c r="A175" s="58"/>
      <c r="B175" s="58"/>
      <c r="C175" s="58"/>
      <c r="D175" s="95"/>
      <c r="E175" s="100"/>
      <c r="F175" s="58"/>
      <c r="G175" s="58"/>
      <c r="H175" s="126"/>
      <c r="I175" s="58"/>
      <c r="J175" s="100"/>
      <c r="K175" s="58"/>
    </row>
    <row r="176" spans="1:24" x14ac:dyDescent="0.25">
      <c r="A176" s="58"/>
      <c r="B176" s="58"/>
      <c r="C176" s="58"/>
      <c r="D176" s="95"/>
      <c r="E176" s="100"/>
      <c r="F176" s="58"/>
      <c r="G176" s="58"/>
      <c r="H176" s="126"/>
      <c r="I176" s="58"/>
      <c r="J176" s="100"/>
      <c r="K176" s="58"/>
    </row>
    <row r="177" spans="1:11" x14ac:dyDescent="0.25">
      <c r="A177" s="58"/>
      <c r="B177" s="58"/>
      <c r="C177" s="58"/>
      <c r="D177" s="95"/>
      <c r="E177" s="100"/>
      <c r="F177" s="58"/>
      <c r="G177" s="58"/>
      <c r="H177" s="126"/>
      <c r="I177" s="58"/>
      <c r="J177" s="100"/>
      <c r="K177" s="58"/>
    </row>
    <row r="178" spans="1:11" x14ac:dyDescent="0.25">
      <c r="A178" s="58"/>
      <c r="B178" s="58"/>
      <c r="C178" s="58"/>
      <c r="D178" s="95"/>
      <c r="E178" s="100"/>
      <c r="F178" s="58"/>
      <c r="G178" s="58"/>
      <c r="H178" s="126"/>
      <c r="I178" s="58"/>
      <c r="J178" s="100"/>
      <c r="K178" s="58"/>
    </row>
    <row r="179" spans="1:11" x14ac:dyDescent="0.25">
      <c r="A179" s="58"/>
      <c r="B179" s="58"/>
      <c r="C179" s="58"/>
      <c r="D179" s="95"/>
      <c r="E179" s="100"/>
      <c r="F179" s="58"/>
      <c r="G179" s="58"/>
      <c r="H179" s="126"/>
      <c r="I179" s="58"/>
      <c r="J179" s="100"/>
      <c r="K179" s="58"/>
    </row>
    <row r="180" spans="1:11" x14ac:dyDescent="0.25">
      <c r="A180" s="58"/>
      <c r="B180" s="58"/>
      <c r="C180" s="58"/>
      <c r="D180" s="95"/>
      <c r="E180" s="100"/>
      <c r="F180" s="58"/>
      <c r="G180" s="58"/>
      <c r="H180" s="126"/>
      <c r="I180" s="58"/>
      <c r="J180" s="100"/>
      <c r="K180" s="58"/>
    </row>
    <row r="181" spans="1:11" x14ac:dyDescent="0.25">
      <c r="A181" s="58"/>
      <c r="B181" s="58"/>
      <c r="C181" s="58"/>
      <c r="D181" s="95"/>
      <c r="E181" s="100"/>
      <c r="F181" s="58"/>
      <c r="G181" s="58"/>
      <c r="H181" s="126"/>
      <c r="I181" s="58"/>
      <c r="J181" s="100"/>
      <c r="K181" s="58"/>
    </row>
  </sheetData>
  <autoFilter ref="A1:K156" xr:uid="{B816F712-1247-4DF2-A4A4-D4E398A0CC32}">
    <filterColumn colId="7">
      <filters blank="1">
        <filter val="100%"/>
        <filter val="50%"/>
        <filter val="70%"/>
        <filter val="85%"/>
      </filters>
    </filterColumn>
  </autoFilter>
  <dataValidations count="7">
    <dataValidation type="list" allowBlank="1" showInputMessage="1" showErrorMessage="1" sqref="G158:G166 F157:F166 F2:F155" xr:uid="{01FDAD09-24F2-49BF-8AFC-E3F90BF1F5FC}">
      <formula1>"Early engagement, Qualified lead/Tender in progress, Proposal/Tender submitted, Negotiation stage, Verbal commitment, Contract signed/PO issued, Lost/No-go"</formula1>
    </dataValidation>
    <dataValidation type="list" allowBlank="1" showInputMessage="1" showErrorMessage="1" sqref="K92:K126" xr:uid="{87252A68-4C8E-47E8-98A9-D0BFA35239F7}">
      <formula1>"Government, Private"</formula1>
    </dataValidation>
    <dataValidation type="list" allowBlank="1" showInputMessage="1" showErrorMessage="1" sqref="G157" xr:uid="{F408D0DE-A3C0-4594-9DD2-0971FE78AC9D}">
      <formula1>"6 months, 1-2 years, &gt;2 years"</formula1>
    </dataValidation>
    <dataValidation type="list" allowBlank="1" showInputMessage="1" showErrorMessage="1" sqref="F156" xr:uid="{A29C6299-347D-4E72-9E9B-25E6AF4D089F}">
      <formula1>"&lt;6 months, 6-12 months, 1-2 years, &gt; 2 years"</formula1>
    </dataValidation>
    <dataValidation allowBlank="1" showInputMessage="1" showErrorMessage="1" sqref="E1:F2" xr:uid="{71FA3D91-FB85-4000-89D4-9A6E0179215C}"/>
    <dataValidation type="list" allowBlank="1" showInputMessage="1" showErrorMessage="1" sqref="D2:D127" xr:uid="{1FE83E68-B966-4B9D-9B92-E677DC7B16E2}">
      <formula1>"Project Management, MIMOS Academy, Contract R&amp;D, ITIC, FA/MA/REL, Wafer Fab, Tech Licencing, Royalty "</formula1>
    </dataValidation>
    <dataValidation type="list" allowBlank="1" showInputMessage="1" showErrorMessage="1" sqref="G2:G155" xr:uid="{C6F684BA-3678-4837-9E80-21E826596989}">
      <formula1>"Q1 2026, Q2 2026, Q3 2026, Q4 2026, 2027 onwards"</formula1>
    </dataValidation>
  </dataValidation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F3208-31E8-4F1D-B376-DBE1771E5012}">
  <dimension ref="A1:D123"/>
  <sheetViews>
    <sheetView workbookViewId="0">
      <pane ySplit="4" topLeftCell="A5" activePane="bottomLeft" state="frozen"/>
      <selection pane="bottomLeft" sqref="A1:XFD1048576"/>
    </sheetView>
  </sheetViews>
  <sheetFormatPr defaultColWidth="8.7265625" defaultRowHeight="14.5" x14ac:dyDescent="0.35"/>
  <cols>
    <col min="1" max="1" width="26.26953125" customWidth="1"/>
    <col min="2" max="2" width="55" customWidth="1"/>
    <col min="3" max="3" width="44.1796875" customWidth="1"/>
    <col min="4" max="4" width="12.1796875" bestFit="1" customWidth="1"/>
    <col min="6" max="6" width="34.26953125" customWidth="1"/>
    <col min="7" max="7" width="14.453125" bestFit="1" customWidth="1"/>
    <col min="8" max="8" width="34.26953125" customWidth="1"/>
    <col min="9" max="9" width="25.7265625" bestFit="1" customWidth="1"/>
  </cols>
  <sheetData>
    <row r="1" spans="1:4" ht="18.5" x14ac:dyDescent="0.45">
      <c r="A1" s="50" t="s">
        <v>239</v>
      </c>
      <c r="B1" s="50"/>
      <c r="C1" s="50"/>
      <c r="D1" s="50"/>
    </row>
    <row r="2" spans="1:4" x14ac:dyDescent="0.35">
      <c r="A2" s="51" t="s">
        <v>240</v>
      </c>
      <c r="B2" s="51"/>
      <c r="C2" s="51"/>
      <c r="D2" s="51"/>
    </row>
    <row r="4" spans="1:4" x14ac:dyDescent="0.35">
      <c r="A4" s="19" t="s">
        <v>0</v>
      </c>
      <c r="B4" s="19" t="s">
        <v>241</v>
      </c>
      <c r="C4" s="19" t="s">
        <v>242</v>
      </c>
      <c r="D4" s="19" t="s">
        <v>243</v>
      </c>
    </row>
    <row r="5" spans="1:4" x14ac:dyDescent="0.35">
      <c r="A5">
        <v>1</v>
      </c>
      <c r="B5" t="s">
        <v>11</v>
      </c>
      <c r="C5" t="s">
        <v>12</v>
      </c>
      <c r="D5" t="s">
        <v>16</v>
      </c>
    </row>
    <row r="6" spans="1:4" x14ac:dyDescent="0.35">
      <c r="A6">
        <v>2</v>
      </c>
      <c r="B6" t="s">
        <v>17</v>
      </c>
      <c r="C6" t="s">
        <v>18</v>
      </c>
      <c r="D6" t="s">
        <v>16</v>
      </c>
    </row>
    <row r="7" spans="1:4" x14ac:dyDescent="0.35">
      <c r="A7">
        <v>3</v>
      </c>
      <c r="B7" t="s">
        <v>17</v>
      </c>
      <c r="C7" t="s">
        <v>18</v>
      </c>
      <c r="D7" t="s">
        <v>16</v>
      </c>
    </row>
    <row r="8" spans="1:4" x14ac:dyDescent="0.35">
      <c r="A8">
        <v>4</v>
      </c>
      <c r="B8" t="s">
        <v>26</v>
      </c>
      <c r="C8" t="s">
        <v>18</v>
      </c>
      <c r="D8" t="s">
        <v>16</v>
      </c>
    </row>
    <row r="9" spans="1:4" x14ac:dyDescent="0.35">
      <c r="A9">
        <v>5</v>
      </c>
      <c r="B9" t="s">
        <v>26</v>
      </c>
      <c r="C9" t="s">
        <v>18</v>
      </c>
      <c r="D9" t="s">
        <v>16</v>
      </c>
    </row>
    <row r="10" spans="1:4" x14ac:dyDescent="0.35">
      <c r="A10">
        <v>6</v>
      </c>
      <c r="B10" t="s">
        <v>26</v>
      </c>
      <c r="C10" t="s">
        <v>18</v>
      </c>
      <c r="D10" t="s">
        <v>16</v>
      </c>
    </row>
    <row r="11" spans="1:4" x14ac:dyDescent="0.35">
      <c r="A11">
        <v>7</v>
      </c>
      <c r="B11" t="s">
        <v>26</v>
      </c>
      <c r="C11" t="s">
        <v>18</v>
      </c>
      <c r="D11" t="s">
        <v>16</v>
      </c>
    </row>
    <row r="12" spans="1:4" x14ac:dyDescent="0.35">
      <c r="A12">
        <v>8</v>
      </c>
      <c r="B12" t="s">
        <v>28</v>
      </c>
      <c r="C12" t="s">
        <v>18</v>
      </c>
      <c r="D12" t="s">
        <v>16</v>
      </c>
    </row>
    <row r="13" spans="1:4" x14ac:dyDescent="0.35">
      <c r="A13">
        <v>9</v>
      </c>
      <c r="B13" t="s">
        <v>32</v>
      </c>
      <c r="C13" t="s">
        <v>18</v>
      </c>
      <c r="D13" t="s">
        <v>16</v>
      </c>
    </row>
    <row r="14" spans="1:4" x14ac:dyDescent="0.35">
      <c r="A14">
        <v>10</v>
      </c>
      <c r="B14" t="s">
        <v>33</v>
      </c>
      <c r="C14" t="s">
        <v>18</v>
      </c>
      <c r="D14" t="s">
        <v>16</v>
      </c>
    </row>
    <row r="15" spans="1:4" x14ac:dyDescent="0.35">
      <c r="A15">
        <v>11</v>
      </c>
      <c r="B15" t="s">
        <v>35</v>
      </c>
      <c r="C15" t="s">
        <v>18</v>
      </c>
      <c r="D15" t="s">
        <v>16</v>
      </c>
    </row>
    <row r="16" spans="1:4" x14ac:dyDescent="0.35">
      <c r="A16">
        <v>12</v>
      </c>
      <c r="B16" t="s">
        <v>36</v>
      </c>
      <c r="C16" t="s">
        <v>18</v>
      </c>
      <c r="D16" t="s">
        <v>16</v>
      </c>
    </row>
    <row r="17" spans="1:4" x14ac:dyDescent="0.35">
      <c r="A17">
        <v>13</v>
      </c>
      <c r="B17" t="s">
        <v>36</v>
      </c>
      <c r="C17" t="s">
        <v>37</v>
      </c>
      <c r="D17" t="s">
        <v>16</v>
      </c>
    </row>
    <row r="18" spans="1:4" x14ac:dyDescent="0.35">
      <c r="A18">
        <v>14</v>
      </c>
      <c r="B18" t="s">
        <v>53</v>
      </c>
      <c r="C18" t="s">
        <v>54</v>
      </c>
      <c r="D18" t="s">
        <v>16</v>
      </c>
    </row>
    <row r="19" spans="1:4" x14ac:dyDescent="0.35">
      <c r="A19">
        <v>15</v>
      </c>
      <c r="B19" t="s">
        <v>59</v>
      </c>
      <c r="C19" t="s">
        <v>60</v>
      </c>
      <c r="D19" t="s">
        <v>16</v>
      </c>
    </row>
    <row r="20" spans="1:4" x14ac:dyDescent="0.35">
      <c r="A20">
        <v>16</v>
      </c>
      <c r="B20" t="s">
        <v>62</v>
      </c>
      <c r="C20" t="s">
        <v>63</v>
      </c>
      <c r="D20" t="s">
        <v>16</v>
      </c>
    </row>
    <row r="21" spans="1:4" x14ac:dyDescent="0.35">
      <c r="A21">
        <v>17</v>
      </c>
      <c r="B21" t="s">
        <v>67</v>
      </c>
      <c r="C21" t="s">
        <v>68</v>
      </c>
      <c r="D21" t="s">
        <v>16</v>
      </c>
    </row>
    <row r="22" spans="1:4" x14ac:dyDescent="0.35">
      <c r="A22">
        <v>18</v>
      </c>
      <c r="B22" t="s">
        <v>67</v>
      </c>
      <c r="C22" t="s">
        <v>69</v>
      </c>
      <c r="D22" t="s">
        <v>16</v>
      </c>
    </row>
    <row r="23" spans="1:4" x14ac:dyDescent="0.35">
      <c r="A23">
        <v>19</v>
      </c>
      <c r="B23" t="s">
        <v>77</v>
      </c>
      <c r="C23" t="s">
        <v>80</v>
      </c>
      <c r="D23" t="s">
        <v>16</v>
      </c>
    </row>
    <row r="24" spans="1:4" x14ac:dyDescent="0.35">
      <c r="A24">
        <v>20</v>
      </c>
      <c r="B24" t="s">
        <v>81</v>
      </c>
      <c r="C24" t="s">
        <v>23</v>
      </c>
      <c r="D24" t="s">
        <v>16</v>
      </c>
    </row>
    <row r="25" spans="1:4" x14ac:dyDescent="0.35">
      <c r="A25">
        <v>21</v>
      </c>
      <c r="B25" t="s">
        <v>96</v>
      </c>
      <c r="C25" t="s">
        <v>97</v>
      </c>
      <c r="D25" t="s">
        <v>16</v>
      </c>
    </row>
    <row r="26" spans="1:4" x14ac:dyDescent="0.35">
      <c r="A26">
        <v>22</v>
      </c>
      <c r="B26" t="s">
        <v>98</v>
      </c>
      <c r="C26" t="s">
        <v>99</v>
      </c>
      <c r="D26" t="s">
        <v>16</v>
      </c>
    </row>
    <row r="27" spans="1:4" x14ac:dyDescent="0.35">
      <c r="A27">
        <v>23</v>
      </c>
      <c r="B27" t="s">
        <v>106</v>
      </c>
      <c r="C27" t="s">
        <v>18</v>
      </c>
      <c r="D27" t="s">
        <v>16</v>
      </c>
    </row>
    <row r="28" spans="1:4" x14ac:dyDescent="0.35">
      <c r="A28">
        <v>24</v>
      </c>
      <c r="B28" t="s">
        <v>107</v>
      </c>
      <c r="C28" t="s">
        <v>108</v>
      </c>
      <c r="D28" t="s">
        <v>16</v>
      </c>
    </row>
    <row r="29" spans="1:4" x14ac:dyDescent="0.35">
      <c r="A29">
        <v>25</v>
      </c>
      <c r="B29" t="s">
        <v>109</v>
      </c>
      <c r="C29" t="s">
        <v>110</v>
      </c>
      <c r="D29" t="s">
        <v>16</v>
      </c>
    </row>
    <row r="30" spans="1:4" x14ac:dyDescent="0.35">
      <c r="A30">
        <v>26</v>
      </c>
      <c r="B30" t="s">
        <v>62</v>
      </c>
      <c r="C30" t="s">
        <v>18</v>
      </c>
      <c r="D30" t="s">
        <v>16</v>
      </c>
    </row>
    <row r="31" spans="1:4" x14ac:dyDescent="0.35">
      <c r="A31">
        <v>27</v>
      </c>
      <c r="B31" t="s">
        <v>114</v>
      </c>
      <c r="C31" t="s">
        <v>18</v>
      </c>
      <c r="D31" t="s">
        <v>16</v>
      </c>
    </row>
    <row r="32" spans="1:4" x14ac:dyDescent="0.35">
      <c r="A32">
        <v>28</v>
      </c>
      <c r="B32" t="s">
        <v>116</v>
      </c>
      <c r="C32" t="s">
        <v>80</v>
      </c>
      <c r="D32" t="s">
        <v>16</v>
      </c>
    </row>
    <row r="33" spans="1:4" x14ac:dyDescent="0.35">
      <c r="A33">
        <v>29</v>
      </c>
      <c r="B33" t="s">
        <v>117</v>
      </c>
      <c r="C33" t="s">
        <v>23</v>
      </c>
      <c r="D33" t="s">
        <v>16</v>
      </c>
    </row>
    <row r="34" spans="1:4" x14ac:dyDescent="0.35">
      <c r="A34">
        <v>30</v>
      </c>
      <c r="B34" t="s">
        <v>117</v>
      </c>
      <c r="C34" t="s">
        <v>18</v>
      </c>
      <c r="D34" t="s">
        <v>16</v>
      </c>
    </row>
    <row r="35" spans="1:4" x14ac:dyDescent="0.35">
      <c r="A35">
        <v>31</v>
      </c>
      <c r="B35" t="s">
        <v>118</v>
      </c>
      <c r="C35" t="s">
        <v>18</v>
      </c>
      <c r="D35" t="s">
        <v>16</v>
      </c>
    </row>
    <row r="36" spans="1:4" x14ac:dyDescent="0.35">
      <c r="A36">
        <v>32</v>
      </c>
      <c r="B36" t="s">
        <v>119</v>
      </c>
      <c r="C36" t="s">
        <v>23</v>
      </c>
      <c r="D36" t="s">
        <v>16</v>
      </c>
    </row>
    <row r="37" spans="1:4" x14ac:dyDescent="0.35">
      <c r="A37">
        <v>33</v>
      </c>
      <c r="B37" t="s">
        <v>125</v>
      </c>
      <c r="C37" t="s">
        <v>80</v>
      </c>
      <c r="D37" t="s">
        <v>16</v>
      </c>
    </row>
    <row r="38" spans="1:4" x14ac:dyDescent="0.35">
      <c r="A38">
        <v>34</v>
      </c>
      <c r="B38" t="s">
        <v>119</v>
      </c>
      <c r="C38" t="s">
        <v>126</v>
      </c>
      <c r="D38" t="s">
        <v>16</v>
      </c>
    </row>
    <row r="39" spans="1:4" x14ac:dyDescent="0.35">
      <c r="A39">
        <v>35</v>
      </c>
      <c r="B39" t="s">
        <v>127</v>
      </c>
      <c r="C39" t="s">
        <v>80</v>
      </c>
      <c r="D39" t="s">
        <v>16</v>
      </c>
    </row>
    <row r="40" spans="1:4" x14ac:dyDescent="0.35">
      <c r="A40">
        <v>36</v>
      </c>
      <c r="B40" t="s">
        <v>145</v>
      </c>
      <c r="C40" t="s">
        <v>80</v>
      </c>
      <c r="D40" t="s">
        <v>16</v>
      </c>
    </row>
    <row r="41" spans="1:4" x14ac:dyDescent="0.35">
      <c r="A41">
        <v>37</v>
      </c>
      <c r="B41" t="s">
        <v>148</v>
      </c>
      <c r="C41" t="s">
        <v>149</v>
      </c>
      <c r="D41" t="s">
        <v>16</v>
      </c>
    </row>
    <row r="42" spans="1:4" x14ac:dyDescent="0.35">
      <c r="A42">
        <v>38</v>
      </c>
      <c r="B42" t="s">
        <v>53</v>
      </c>
      <c r="C42" t="s">
        <v>154</v>
      </c>
      <c r="D42" t="s">
        <v>16</v>
      </c>
    </row>
    <row r="43" spans="1:4" x14ac:dyDescent="0.35">
      <c r="A43">
        <v>39</v>
      </c>
      <c r="B43" t="s">
        <v>163</v>
      </c>
      <c r="C43" t="s">
        <v>244</v>
      </c>
      <c r="D43" t="s">
        <v>16</v>
      </c>
    </row>
    <row r="44" spans="1:4" x14ac:dyDescent="0.35">
      <c r="A44">
        <v>40</v>
      </c>
      <c r="B44" t="s">
        <v>163</v>
      </c>
      <c r="C44" t="s">
        <v>165</v>
      </c>
      <c r="D44" t="s">
        <v>16</v>
      </c>
    </row>
    <row r="45" spans="1:4" x14ac:dyDescent="0.35">
      <c r="A45">
        <v>41</v>
      </c>
      <c r="B45" t="s">
        <v>163</v>
      </c>
      <c r="C45" t="s">
        <v>245</v>
      </c>
      <c r="D45" t="s">
        <v>16</v>
      </c>
    </row>
    <row r="46" spans="1:4" x14ac:dyDescent="0.35">
      <c r="A46">
        <v>42</v>
      </c>
      <c r="B46" t="s">
        <v>163</v>
      </c>
      <c r="C46" t="s">
        <v>167</v>
      </c>
      <c r="D46" t="s">
        <v>16</v>
      </c>
    </row>
    <row r="47" spans="1:4" x14ac:dyDescent="0.35">
      <c r="A47">
        <v>43</v>
      </c>
      <c r="B47" t="s">
        <v>172</v>
      </c>
      <c r="C47" t="s">
        <v>113</v>
      </c>
      <c r="D47" t="s">
        <v>16</v>
      </c>
    </row>
    <row r="48" spans="1:4" x14ac:dyDescent="0.35">
      <c r="A48">
        <v>44</v>
      </c>
      <c r="B48" t="s">
        <v>246</v>
      </c>
      <c r="C48" t="s">
        <v>247</v>
      </c>
      <c r="D48" t="s">
        <v>16</v>
      </c>
    </row>
    <row r="49" spans="1:4" x14ac:dyDescent="0.35">
      <c r="A49">
        <v>45</v>
      </c>
      <c r="B49" t="s">
        <v>175</v>
      </c>
      <c r="C49" t="s">
        <v>248</v>
      </c>
      <c r="D49" t="s">
        <v>16</v>
      </c>
    </row>
    <row r="50" spans="1:4" x14ac:dyDescent="0.35">
      <c r="A50">
        <v>46</v>
      </c>
      <c r="B50" t="s">
        <v>181</v>
      </c>
      <c r="C50" t="s">
        <v>182</v>
      </c>
      <c r="D50" t="s">
        <v>16</v>
      </c>
    </row>
    <row r="51" spans="1:4" x14ac:dyDescent="0.35">
      <c r="A51">
        <v>47</v>
      </c>
      <c r="B51" t="s">
        <v>190</v>
      </c>
      <c r="C51" t="s">
        <v>149</v>
      </c>
      <c r="D51" t="s">
        <v>16</v>
      </c>
    </row>
    <row r="52" spans="1:4" x14ac:dyDescent="0.35">
      <c r="A52">
        <v>48</v>
      </c>
      <c r="B52" t="s">
        <v>190</v>
      </c>
      <c r="C52" t="s">
        <v>188</v>
      </c>
      <c r="D52" t="s">
        <v>16</v>
      </c>
    </row>
    <row r="53" spans="1:4" x14ac:dyDescent="0.35">
      <c r="A53">
        <v>49</v>
      </c>
      <c r="B53" t="s">
        <v>191</v>
      </c>
      <c r="C53" t="s">
        <v>12</v>
      </c>
      <c r="D53" t="s">
        <v>16</v>
      </c>
    </row>
    <row r="54" spans="1:4" x14ac:dyDescent="0.35">
      <c r="A54">
        <v>50</v>
      </c>
      <c r="B54" t="s">
        <v>87</v>
      </c>
      <c r="C54" t="s">
        <v>149</v>
      </c>
      <c r="D54" t="s">
        <v>16</v>
      </c>
    </row>
    <row r="55" spans="1:4" x14ac:dyDescent="0.35">
      <c r="A55">
        <v>51</v>
      </c>
      <c r="B55" t="s">
        <v>200</v>
      </c>
      <c r="C55" t="s">
        <v>167</v>
      </c>
      <c r="D55" t="s">
        <v>16</v>
      </c>
    </row>
    <row r="56" spans="1:4" x14ac:dyDescent="0.35">
      <c r="A56">
        <v>52</v>
      </c>
      <c r="B56" t="s">
        <v>200</v>
      </c>
      <c r="C56" t="s">
        <v>201</v>
      </c>
      <c r="D56" t="s">
        <v>16</v>
      </c>
    </row>
    <row r="57" spans="1:4" x14ac:dyDescent="0.35">
      <c r="A57">
        <v>53</v>
      </c>
      <c r="B57" t="s">
        <v>200</v>
      </c>
      <c r="C57" t="s">
        <v>249</v>
      </c>
      <c r="D57" t="s">
        <v>16</v>
      </c>
    </row>
    <row r="59" spans="1:4" x14ac:dyDescent="0.35">
      <c r="A59" s="22" t="s">
        <v>250</v>
      </c>
    </row>
    <row r="61" spans="1:4" ht="15.5" x14ac:dyDescent="0.35">
      <c r="A61" s="52" t="s">
        <v>251</v>
      </c>
      <c r="B61" s="53"/>
      <c r="C61" s="53"/>
    </row>
    <row r="63" spans="1:4" x14ac:dyDescent="0.35">
      <c r="A63" s="21" t="s">
        <v>252</v>
      </c>
      <c r="B63" s="21" t="s">
        <v>253</v>
      </c>
    </row>
    <row r="64" spans="1:4" x14ac:dyDescent="0.35">
      <c r="A64" s="20" t="s">
        <v>254</v>
      </c>
      <c r="B64" s="20">
        <f>COUNTA(A5:A57)</f>
        <v>53</v>
      </c>
    </row>
    <row r="65" spans="1:2" x14ac:dyDescent="0.35">
      <c r="A65" s="20" t="s">
        <v>255</v>
      </c>
      <c r="B65" s="20">
        <f>COUNTA(B69:B105)</f>
        <v>37</v>
      </c>
    </row>
    <row r="68" spans="1:2" x14ac:dyDescent="0.35">
      <c r="A68" s="54" t="s">
        <v>256</v>
      </c>
      <c r="B68" s="54"/>
    </row>
    <row r="69" spans="1:2" x14ac:dyDescent="0.35">
      <c r="A69">
        <v>1</v>
      </c>
      <c r="B69" t="s">
        <v>11</v>
      </c>
    </row>
    <row r="70" spans="1:2" x14ac:dyDescent="0.35">
      <c r="A70">
        <v>2</v>
      </c>
      <c r="B70" t="s">
        <v>17</v>
      </c>
    </row>
    <row r="71" spans="1:2" x14ac:dyDescent="0.35">
      <c r="A71">
        <v>3</v>
      </c>
      <c r="B71" t="s">
        <v>26</v>
      </c>
    </row>
    <row r="72" spans="1:2" x14ac:dyDescent="0.35">
      <c r="A72">
        <v>4</v>
      </c>
      <c r="B72" t="s">
        <v>28</v>
      </c>
    </row>
    <row r="73" spans="1:2" x14ac:dyDescent="0.35">
      <c r="A73">
        <v>5</v>
      </c>
      <c r="B73" t="s">
        <v>32</v>
      </c>
    </row>
    <row r="74" spans="1:2" x14ac:dyDescent="0.35">
      <c r="A74">
        <v>6</v>
      </c>
      <c r="B74" t="s">
        <v>33</v>
      </c>
    </row>
    <row r="75" spans="1:2" x14ac:dyDescent="0.35">
      <c r="A75">
        <v>7</v>
      </c>
      <c r="B75" t="s">
        <v>35</v>
      </c>
    </row>
    <row r="76" spans="1:2" x14ac:dyDescent="0.35">
      <c r="A76">
        <v>8</v>
      </c>
      <c r="B76" t="s">
        <v>36</v>
      </c>
    </row>
    <row r="77" spans="1:2" x14ac:dyDescent="0.35">
      <c r="A77">
        <v>9</v>
      </c>
      <c r="B77" t="s">
        <v>53</v>
      </c>
    </row>
    <row r="78" spans="1:2" x14ac:dyDescent="0.35">
      <c r="A78">
        <v>10</v>
      </c>
      <c r="B78" t="s">
        <v>59</v>
      </c>
    </row>
    <row r="79" spans="1:2" x14ac:dyDescent="0.35">
      <c r="A79">
        <v>11</v>
      </c>
      <c r="B79" t="s">
        <v>62</v>
      </c>
    </row>
    <row r="80" spans="1:2" x14ac:dyDescent="0.35">
      <c r="A80">
        <v>12</v>
      </c>
      <c r="B80" t="s">
        <v>67</v>
      </c>
    </row>
    <row r="81" spans="1:2" x14ac:dyDescent="0.35">
      <c r="A81">
        <v>13</v>
      </c>
      <c r="B81" t="s">
        <v>77</v>
      </c>
    </row>
    <row r="82" spans="1:2" x14ac:dyDescent="0.35">
      <c r="A82">
        <v>14</v>
      </c>
      <c r="B82" t="s">
        <v>81</v>
      </c>
    </row>
    <row r="83" spans="1:2" x14ac:dyDescent="0.35">
      <c r="A83">
        <v>15</v>
      </c>
      <c r="B83" t="s">
        <v>96</v>
      </c>
    </row>
    <row r="84" spans="1:2" x14ac:dyDescent="0.35">
      <c r="A84">
        <v>16</v>
      </c>
      <c r="B84" t="s">
        <v>98</v>
      </c>
    </row>
    <row r="85" spans="1:2" x14ac:dyDescent="0.35">
      <c r="A85">
        <v>17</v>
      </c>
      <c r="B85" t="s">
        <v>106</v>
      </c>
    </row>
    <row r="86" spans="1:2" x14ac:dyDescent="0.35">
      <c r="A86">
        <v>18</v>
      </c>
      <c r="B86" t="s">
        <v>107</v>
      </c>
    </row>
    <row r="87" spans="1:2" x14ac:dyDescent="0.35">
      <c r="A87">
        <v>19</v>
      </c>
      <c r="B87" t="s">
        <v>109</v>
      </c>
    </row>
    <row r="88" spans="1:2" x14ac:dyDescent="0.35">
      <c r="A88">
        <v>20</v>
      </c>
      <c r="B88" t="s">
        <v>114</v>
      </c>
    </row>
    <row r="89" spans="1:2" x14ac:dyDescent="0.35">
      <c r="A89">
        <v>21</v>
      </c>
      <c r="B89" t="s">
        <v>116</v>
      </c>
    </row>
    <row r="90" spans="1:2" x14ac:dyDescent="0.35">
      <c r="A90">
        <v>22</v>
      </c>
      <c r="B90" t="s">
        <v>117</v>
      </c>
    </row>
    <row r="91" spans="1:2" x14ac:dyDescent="0.35">
      <c r="A91">
        <v>23</v>
      </c>
      <c r="B91" t="s">
        <v>118</v>
      </c>
    </row>
    <row r="92" spans="1:2" x14ac:dyDescent="0.35">
      <c r="A92">
        <v>24</v>
      </c>
      <c r="B92" t="s">
        <v>119</v>
      </c>
    </row>
    <row r="93" spans="1:2" x14ac:dyDescent="0.35">
      <c r="A93">
        <v>25</v>
      </c>
      <c r="B93" t="s">
        <v>125</v>
      </c>
    </row>
    <row r="94" spans="1:2" x14ac:dyDescent="0.35">
      <c r="A94">
        <v>26</v>
      </c>
      <c r="B94" t="s">
        <v>127</v>
      </c>
    </row>
    <row r="95" spans="1:2" x14ac:dyDescent="0.35">
      <c r="A95">
        <v>27</v>
      </c>
      <c r="B95" t="s">
        <v>145</v>
      </c>
    </row>
    <row r="96" spans="1:2" x14ac:dyDescent="0.35">
      <c r="A96">
        <v>28</v>
      </c>
      <c r="B96" t="s">
        <v>148</v>
      </c>
    </row>
    <row r="97" spans="1:2" x14ac:dyDescent="0.35">
      <c r="A97">
        <v>29</v>
      </c>
      <c r="B97" t="s">
        <v>163</v>
      </c>
    </row>
    <row r="98" spans="1:2" x14ac:dyDescent="0.35">
      <c r="A98">
        <v>30</v>
      </c>
      <c r="B98" t="s">
        <v>172</v>
      </c>
    </row>
    <row r="99" spans="1:2" x14ac:dyDescent="0.35">
      <c r="A99">
        <v>31</v>
      </c>
      <c r="B99" t="s">
        <v>246</v>
      </c>
    </row>
    <row r="100" spans="1:2" x14ac:dyDescent="0.35">
      <c r="A100">
        <v>32</v>
      </c>
      <c r="B100" t="s">
        <v>175</v>
      </c>
    </row>
    <row r="101" spans="1:2" x14ac:dyDescent="0.35">
      <c r="A101">
        <v>33</v>
      </c>
      <c r="B101" t="s">
        <v>181</v>
      </c>
    </row>
    <row r="102" spans="1:2" x14ac:dyDescent="0.35">
      <c r="A102">
        <v>34</v>
      </c>
      <c r="B102" t="s">
        <v>190</v>
      </c>
    </row>
    <row r="103" spans="1:2" x14ac:dyDescent="0.35">
      <c r="A103">
        <v>35</v>
      </c>
      <c r="B103" t="s">
        <v>191</v>
      </c>
    </row>
    <row r="104" spans="1:2" x14ac:dyDescent="0.35">
      <c r="A104">
        <v>36</v>
      </c>
      <c r="B104" t="s">
        <v>87</v>
      </c>
    </row>
    <row r="105" spans="1:2" x14ac:dyDescent="0.35">
      <c r="A105">
        <v>37</v>
      </c>
      <c r="B105" t="s">
        <v>200</v>
      </c>
    </row>
    <row r="106" spans="1:2" x14ac:dyDescent="0.35">
      <c r="B106" s="18" t="s">
        <v>257</v>
      </c>
    </row>
    <row r="107" spans="1:2" x14ac:dyDescent="0.35">
      <c r="B107">
        <f>COUNTA(B69:B105)</f>
        <v>37</v>
      </c>
    </row>
    <row r="112" spans="1:2" x14ac:dyDescent="0.35">
      <c r="A112" s="49" t="s">
        <v>258</v>
      </c>
      <c r="B112" s="49"/>
    </row>
    <row r="113" spans="1:2" x14ac:dyDescent="0.35">
      <c r="A113" s="21" t="s">
        <v>259</v>
      </c>
      <c r="B113" s="21" t="s">
        <v>260</v>
      </c>
    </row>
    <row r="114" spans="1:2" x14ac:dyDescent="0.35">
      <c r="A114" s="20" t="s">
        <v>26</v>
      </c>
      <c r="B114" s="20">
        <f>COUNTIF(B5:B57,A114)</f>
        <v>4</v>
      </c>
    </row>
    <row r="115" spans="1:2" x14ac:dyDescent="0.35">
      <c r="A115" s="20" t="s">
        <v>163</v>
      </c>
      <c r="B115" s="20">
        <f>COUNTIF(B5:B57,A115)</f>
        <v>4</v>
      </c>
    </row>
    <row r="116" spans="1:2" x14ac:dyDescent="0.35">
      <c r="A116" s="20" t="s">
        <v>200</v>
      </c>
      <c r="B116" s="20">
        <f>COUNTIF(B5:B57,A116)</f>
        <v>3</v>
      </c>
    </row>
    <row r="117" spans="1:2" x14ac:dyDescent="0.35">
      <c r="A117" s="20" t="s">
        <v>17</v>
      </c>
      <c r="B117" s="20">
        <f>COUNTIF(B5:B57,A117)</f>
        <v>2</v>
      </c>
    </row>
    <row r="118" spans="1:2" x14ac:dyDescent="0.35">
      <c r="A118" s="20" t="s">
        <v>36</v>
      </c>
      <c r="B118" s="20">
        <f>COUNTIF(B5:B57,A118)</f>
        <v>2</v>
      </c>
    </row>
    <row r="119" spans="1:2" x14ac:dyDescent="0.35">
      <c r="A119" s="20" t="s">
        <v>53</v>
      </c>
      <c r="B119" s="20">
        <f>COUNTIF(B5:B57,A119)</f>
        <v>2</v>
      </c>
    </row>
    <row r="120" spans="1:2" x14ac:dyDescent="0.35">
      <c r="A120" s="20" t="s">
        <v>62</v>
      </c>
      <c r="B120" s="20">
        <f>COUNTIF(B5:B57,A120)</f>
        <v>2</v>
      </c>
    </row>
    <row r="121" spans="1:2" x14ac:dyDescent="0.35">
      <c r="A121" s="20" t="s">
        <v>67</v>
      </c>
      <c r="B121" s="20">
        <f>COUNTIF(B5:B57,A121)</f>
        <v>2</v>
      </c>
    </row>
    <row r="122" spans="1:2" x14ac:dyDescent="0.35">
      <c r="A122" s="20" t="s">
        <v>117</v>
      </c>
      <c r="B122" s="20">
        <f>COUNTIF(B5:B57,A122)</f>
        <v>2</v>
      </c>
    </row>
    <row r="123" spans="1:2" x14ac:dyDescent="0.35">
      <c r="A123" s="20" t="s">
        <v>119</v>
      </c>
      <c r="B123" s="20">
        <f>COUNTIF(B5:B57,A123)</f>
        <v>2</v>
      </c>
    </row>
  </sheetData>
  <mergeCells count="5">
    <mergeCell ref="A112:B112"/>
    <mergeCell ref="A1:D1"/>
    <mergeCell ref="A2:D2"/>
    <mergeCell ref="A61:C61"/>
    <mergeCell ref="A68:B6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211326-89ad-4bd0-b6dd-aff52ca67a21" xsi:nil="true"/>
    <lcf76f155ced4ddcb4097134ff3c332f xmlns="5f3daaf4-d967-4da0-ad17-adb95c5ace20">
      <Terms xmlns="http://schemas.microsoft.com/office/infopath/2007/PartnerControls"/>
    </lcf76f155ced4ddcb4097134ff3c332f>
    <TrainerCategory xmlns="5f3daaf4-d967-4da0-ad17-adb95c5ace20" xsi:nil="true"/>
    <TrainerName xmlns="5f3daaf4-d967-4da0-ad17-adb95c5ace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F9B6FD401024CA945249B6E0DC146" ma:contentTypeVersion="17" ma:contentTypeDescription="Create a new document." ma:contentTypeScope="" ma:versionID="982deb0965f4e14de2b395d8b2533b00">
  <xsd:schema xmlns:xsd="http://www.w3.org/2001/XMLSchema" xmlns:xs="http://www.w3.org/2001/XMLSchema" xmlns:p="http://schemas.microsoft.com/office/2006/metadata/properties" xmlns:ns2="5f3daaf4-d967-4da0-ad17-adb95c5ace20" xmlns:ns3="09211326-89ad-4bd0-b6dd-aff52ca67a21" targetNamespace="http://schemas.microsoft.com/office/2006/metadata/properties" ma:root="true" ma:fieldsID="675470a2dadd6acbe58ea066200e54d8" ns2:_="" ns3:_="">
    <xsd:import namespace="5f3daaf4-d967-4da0-ad17-adb95c5ace20"/>
    <xsd:import namespace="09211326-89ad-4bd0-b6dd-aff52ca67a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TrainerName" minOccurs="0"/>
                <xsd:element ref="ns2:TrainerCategory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daaf4-d967-4da0-ad17-adb95c5ac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a8d7b5-0ee0-41c3-9aa4-eae2f4059a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TrainerName" ma:index="22" nillable="true" ma:displayName="Trainer Name" ma:format="Dropdown" ma:internalName="TrainerName">
      <xsd:simpleType>
        <xsd:restriction base="dms:Text">
          <xsd:maxLength value="255"/>
        </xsd:restriction>
      </xsd:simpleType>
    </xsd:element>
    <xsd:element name="TrainerCategory" ma:index="23" nillable="true" ma:displayName="Trainer Category" ma:format="Dropdown" ma:internalName="TrainerCategory">
      <xsd:simpleType>
        <xsd:restriction base="dms:Choice">
          <xsd:enumeration value="Freelance"/>
          <xsd:enumeration value="Training Partner"/>
          <xsd:enumeration value="Freelance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11326-89ad-4bd0-b6dd-aff52ca67a2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4a0c7f6-087e-4659-9262-e5256959297d}" ma:internalName="TaxCatchAll" ma:showField="CatchAllData" ma:web="09211326-89ad-4bd0-b6dd-aff52ca67a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9498B8-D7DA-4860-9152-3A8E62EDF25D}">
  <ds:schemaRefs>
    <ds:schemaRef ds:uri="09211326-89ad-4bd0-b6dd-aff52ca67a21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5f3daaf4-d967-4da0-ad17-adb95c5ace20"/>
    <ds:schemaRef ds:uri="http://purl.org/dc/elements/1.1/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1310644-693C-46C9-9843-267BFE8823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daaf4-d967-4da0-ad17-adb95c5ace20"/>
    <ds:schemaRef ds:uri="09211326-89ad-4bd0-b6dd-aff52ca67a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6A2052-E853-45EA-9582-1331CE12CE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MIMOS Academy - Dr Nizar</vt:lpstr>
      <vt:lpstr>AI Projects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Yeok Su Hwa</dc:creator>
  <cp:keywords/>
  <dc:description/>
  <cp:lastModifiedBy>Mohd Abu Sa'id Abdul Razak</cp:lastModifiedBy>
  <cp:revision/>
  <dcterms:created xsi:type="dcterms:W3CDTF">2025-07-28T04:21:45Z</dcterms:created>
  <dcterms:modified xsi:type="dcterms:W3CDTF">2026-08-19T14:37:49Z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0x010100A3FF9B6FD401024CA945249B6E0DC146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</Properties>
</file>