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bu.razak\Downloads\Update By MASB\Governance System\MA sysem dr nizar\"/>
    </mc:Choice>
  </mc:AlternateContent>
  <xr:revisionPtr revIDLastSave="0" documentId="8_{A0CCBC19-C13F-4BF3-BF0F-7DB92B7C7604}" xr6:coauthVersionLast="36" xr6:coauthVersionMax="36" xr10:uidLastSave="{00000000-0000-0000-0000-000000000000}"/>
  <bookViews>
    <workbookView xWindow="0" yWindow="0" windowWidth="19200" windowHeight="6520" xr2:uid="{00000000-000D-0000-FFFF-FFFF00000000}"/>
  </bookViews>
  <sheets>
    <sheet name="Overall" sheetId="18" r:id="rId1"/>
    <sheet name="Attendance list" sheetId="9" state="hidden" r:id="rId2"/>
    <sheet name="quotation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0" i="18" l="1"/>
  <c r="T50" i="18"/>
  <c r="U44" i="18"/>
  <c r="O50" i="18"/>
  <c r="N50" i="18"/>
  <c r="O34" i="18"/>
  <c r="O21" i="18"/>
  <c r="V50" i="18"/>
  <c r="Q50" i="18"/>
  <c r="W50" i="18"/>
  <c r="S38" i="18"/>
  <c r="S39" i="18"/>
  <c r="S40" i="18"/>
  <c r="S41" i="18"/>
  <c r="S42" i="18"/>
  <c r="S43" i="18"/>
  <c r="S44" i="18"/>
  <c r="T38" i="18"/>
  <c r="T39" i="18"/>
  <c r="T40" i="18"/>
  <c r="T41" i="18"/>
  <c r="T42" i="18"/>
  <c r="T43" i="18"/>
  <c r="U43" i="18" s="1"/>
  <c r="T44" i="18"/>
  <c r="P50" i="18"/>
  <c r="M50" i="18"/>
  <c r="K50" i="18"/>
  <c r="J50" i="18"/>
  <c r="H50" i="18"/>
  <c r="G50" i="18"/>
  <c r="Y44" i="18"/>
  <c r="Z44" i="18" s="1"/>
  <c r="R44" i="18"/>
  <c r="L44" i="18"/>
  <c r="I44" i="18"/>
  <c r="Y43" i="18"/>
  <c r="Z43" i="18" s="1"/>
  <c r="R43" i="18"/>
  <c r="L43" i="18"/>
  <c r="I43" i="18"/>
  <c r="Y42" i="18"/>
  <c r="Z42" i="18" s="1"/>
  <c r="U42" i="18"/>
  <c r="R42" i="18"/>
  <c r="O42" i="18"/>
  <c r="L42" i="18"/>
  <c r="I42" i="18"/>
  <c r="Y41" i="18"/>
  <c r="Z41" i="18" s="1"/>
  <c r="U41" i="18"/>
  <c r="R41" i="18"/>
  <c r="O41" i="18"/>
  <c r="L41" i="18"/>
  <c r="I41" i="18"/>
  <c r="Y40" i="18"/>
  <c r="Z40" i="18" s="1"/>
  <c r="R40" i="18"/>
  <c r="L40" i="18"/>
  <c r="I40" i="18"/>
  <c r="Y39" i="18"/>
  <c r="Z39" i="18" s="1"/>
  <c r="R39" i="18"/>
  <c r="L39" i="18"/>
  <c r="I39" i="18"/>
  <c r="Y38" i="18"/>
  <c r="Z38" i="18" s="1"/>
  <c r="U38" i="18"/>
  <c r="R38" i="18"/>
  <c r="O38" i="18"/>
  <c r="L38" i="18"/>
  <c r="I38" i="18"/>
  <c r="Y37" i="18"/>
  <c r="Z37" i="18" s="1"/>
  <c r="T37" i="18"/>
  <c r="S37" i="18"/>
  <c r="U37" i="18" s="1"/>
  <c r="R37" i="18"/>
  <c r="O37" i="18"/>
  <c r="L37" i="18"/>
  <c r="I37" i="18"/>
  <c r="Y36" i="18"/>
  <c r="Z36" i="18" s="1"/>
  <c r="T36" i="18"/>
  <c r="S36" i="18"/>
  <c r="U36" i="18" s="1"/>
  <c r="R36" i="18"/>
  <c r="O36" i="18"/>
  <c r="L36" i="18"/>
  <c r="I36" i="18"/>
  <c r="Y35" i="18"/>
  <c r="Z35" i="18" s="1"/>
  <c r="T35" i="18"/>
  <c r="S35" i="18"/>
  <c r="U35" i="18" s="1"/>
  <c r="R35" i="18"/>
  <c r="O35" i="18"/>
  <c r="L35" i="18"/>
  <c r="I35" i="18"/>
  <c r="Y33" i="18"/>
  <c r="Z33" i="18" s="1"/>
  <c r="T33" i="18"/>
  <c r="S33" i="18"/>
  <c r="U33" i="18" s="1"/>
  <c r="R33" i="18"/>
  <c r="O33" i="18"/>
  <c r="L33" i="18"/>
  <c r="I33" i="18"/>
  <c r="Y32" i="18"/>
  <c r="Z32" i="18" s="1"/>
  <c r="T32" i="18"/>
  <c r="S32" i="18"/>
  <c r="U32" i="18" s="1"/>
  <c r="R32" i="18"/>
  <c r="O32" i="18"/>
  <c r="L32" i="18"/>
  <c r="I32" i="18"/>
  <c r="Y31" i="18"/>
  <c r="Z31" i="18" s="1"/>
  <c r="T31" i="18"/>
  <c r="S31" i="18"/>
  <c r="U31" i="18" s="1"/>
  <c r="R31" i="18"/>
  <c r="O31" i="18"/>
  <c r="L31" i="18"/>
  <c r="I31" i="18"/>
  <c r="Y30" i="18"/>
  <c r="Z30" i="18" s="1"/>
  <c r="T30" i="18"/>
  <c r="S30" i="18"/>
  <c r="U30" i="18" s="1"/>
  <c r="R30" i="18"/>
  <c r="O30" i="18"/>
  <c r="L30" i="18"/>
  <c r="I30" i="18"/>
  <c r="Y29" i="18"/>
  <c r="Z29" i="18" s="1"/>
  <c r="T29" i="18"/>
  <c r="S29" i="18"/>
  <c r="U29" i="18" s="1"/>
  <c r="R29" i="18"/>
  <c r="O29" i="18"/>
  <c r="L29" i="18"/>
  <c r="I29" i="18"/>
  <c r="X28" i="18"/>
  <c r="T28" i="18"/>
  <c r="S28" i="18"/>
  <c r="U28" i="18" s="1"/>
  <c r="R28" i="18"/>
  <c r="O28" i="18"/>
  <c r="L28" i="18"/>
  <c r="I28" i="18"/>
  <c r="X27" i="18"/>
  <c r="T27" i="18"/>
  <c r="S27" i="18"/>
  <c r="U27" i="18" s="1"/>
  <c r="R27" i="18"/>
  <c r="O27" i="18"/>
  <c r="L27" i="18"/>
  <c r="I27" i="18"/>
  <c r="Z26" i="18"/>
  <c r="T26" i="18"/>
  <c r="S26" i="18"/>
  <c r="U26" i="18" s="1"/>
  <c r="R26" i="18"/>
  <c r="O26" i="18"/>
  <c r="L26" i="18"/>
  <c r="I26" i="18"/>
  <c r="Y25" i="18"/>
  <c r="Z25" i="18" s="1"/>
  <c r="T25" i="18"/>
  <c r="S25" i="18"/>
  <c r="U25" i="18" s="1"/>
  <c r="R25" i="18"/>
  <c r="O25" i="18"/>
  <c r="L25" i="18"/>
  <c r="I25" i="18"/>
  <c r="Y24" i="18"/>
  <c r="Z24" i="18" s="1"/>
  <c r="T24" i="18"/>
  <c r="S24" i="18"/>
  <c r="U24" i="18" s="1"/>
  <c r="R24" i="18"/>
  <c r="O24" i="18"/>
  <c r="L24" i="18"/>
  <c r="I24" i="18"/>
  <c r="Y23" i="18"/>
  <c r="Z23" i="18" s="1"/>
  <c r="T23" i="18"/>
  <c r="S23" i="18"/>
  <c r="U23" i="18" s="1"/>
  <c r="R23" i="18"/>
  <c r="O23" i="18"/>
  <c r="L23" i="18"/>
  <c r="I23" i="18"/>
  <c r="Z22" i="18"/>
  <c r="T22" i="18"/>
  <c r="S22" i="18"/>
  <c r="U22" i="18" s="1"/>
  <c r="R22" i="18"/>
  <c r="O22" i="18"/>
  <c r="L22" i="18"/>
  <c r="I22" i="18"/>
  <c r="Z20" i="18"/>
  <c r="T20" i="18"/>
  <c r="S20" i="18"/>
  <c r="U20" i="18" s="1"/>
  <c r="R20" i="18"/>
  <c r="O20" i="18"/>
  <c r="L20" i="18"/>
  <c r="I20" i="18"/>
  <c r="Z19" i="18"/>
  <c r="T19" i="18"/>
  <c r="S19" i="18"/>
  <c r="U19" i="18" s="1"/>
  <c r="R19" i="18"/>
  <c r="O19" i="18"/>
  <c r="L19" i="18"/>
  <c r="I19" i="18"/>
  <c r="Y18" i="18"/>
  <c r="Z18" i="18" s="1"/>
  <c r="T18" i="18"/>
  <c r="S18" i="18"/>
  <c r="U18" i="18" s="1"/>
  <c r="R18" i="18"/>
  <c r="O18" i="18"/>
  <c r="L18" i="18"/>
  <c r="I18" i="18"/>
  <c r="Y17" i="18"/>
  <c r="Z17" i="18" s="1"/>
  <c r="T17" i="18"/>
  <c r="S17" i="18"/>
  <c r="U17" i="18" s="1"/>
  <c r="R17" i="18"/>
  <c r="O17" i="18"/>
  <c r="L17" i="18"/>
  <c r="I17" i="18"/>
  <c r="Y16" i="18"/>
  <c r="Z16" i="18" s="1"/>
  <c r="T16" i="18"/>
  <c r="S16" i="18"/>
  <c r="U16" i="18" s="1"/>
  <c r="R16" i="18"/>
  <c r="O16" i="18"/>
  <c r="L16" i="18"/>
  <c r="I16" i="18"/>
  <c r="Z15" i="18"/>
  <c r="T15" i="18"/>
  <c r="S15" i="18"/>
  <c r="U15" i="18" s="1"/>
  <c r="R15" i="18"/>
  <c r="O15" i="18"/>
  <c r="L15" i="18"/>
  <c r="I15" i="18"/>
  <c r="AE14" i="18"/>
  <c r="AC14" i="18"/>
  <c r="AB14" i="18"/>
  <c r="Y14" i="18"/>
  <c r="Z14" i="18" s="1"/>
  <c r="T14" i="18"/>
  <c r="S14" i="18"/>
  <c r="U14" i="18" s="1"/>
  <c r="R14" i="18"/>
  <c r="O14" i="18"/>
  <c r="L14" i="18"/>
  <c r="I14" i="18"/>
  <c r="AC13" i="18"/>
  <c r="AB13" i="18"/>
  <c r="AD13" i="18" s="1"/>
  <c r="Y13" i="18"/>
  <c r="Z13" i="18" s="1"/>
  <c r="T13" i="18"/>
  <c r="S13" i="18"/>
  <c r="U13" i="18" s="1"/>
  <c r="R13" i="18"/>
  <c r="O13" i="18"/>
  <c r="L13" i="18"/>
  <c r="I13" i="18"/>
  <c r="AE12" i="18"/>
  <c r="Y12" i="18"/>
  <c r="Z12" i="18" s="1"/>
  <c r="T12" i="18"/>
  <c r="S12" i="18"/>
  <c r="U12" i="18" s="1"/>
  <c r="R12" i="18"/>
  <c r="O12" i="18"/>
  <c r="L12" i="18"/>
  <c r="I12" i="18"/>
  <c r="AC11" i="18"/>
  <c r="AB11" i="18"/>
  <c r="AD11" i="18" s="1"/>
  <c r="Y11" i="18"/>
  <c r="Z11" i="18" s="1"/>
  <c r="T11" i="18"/>
  <c r="S11" i="18"/>
  <c r="U11" i="18" s="1"/>
  <c r="R11" i="18"/>
  <c r="O11" i="18"/>
  <c r="L11" i="18"/>
  <c r="I11" i="18"/>
  <c r="AE10" i="18"/>
  <c r="Y10" i="18"/>
  <c r="Z10" i="18" s="1"/>
  <c r="T10" i="18"/>
  <c r="S10" i="18"/>
  <c r="U10" i="18" s="1"/>
  <c r="R10" i="18"/>
  <c r="O10" i="18"/>
  <c r="L10" i="18"/>
  <c r="I10" i="18"/>
  <c r="Y9" i="18"/>
  <c r="Z9" i="18" s="1"/>
  <c r="S9" i="18"/>
  <c r="O9" i="18"/>
  <c r="L9" i="18"/>
  <c r="I9" i="18"/>
  <c r="AD8" i="18"/>
  <c r="AC8" i="18"/>
  <c r="AC9" i="18" s="1"/>
  <c r="AB8" i="18"/>
  <c r="AB9" i="18" s="1"/>
  <c r="AD9" i="18" s="1"/>
  <c r="Y8" i="18"/>
  <c r="Z8" i="18" s="1"/>
  <c r="T8" i="18"/>
  <c r="S8" i="18"/>
  <c r="U8" i="18" s="1"/>
  <c r="R8" i="18"/>
  <c r="O8" i="18"/>
  <c r="L8" i="18"/>
  <c r="I8" i="18"/>
  <c r="Y7" i="18"/>
  <c r="Z7" i="18" s="1"/>
  <c r="T7" i="18"/>
  <c r="S7" i="18"/>
  <c r="U7" i="18" s="1"/>
  <c r="R7" i="18"/>
  <c r="O7" i="18"/>
  <c r="L7" i="18"/>
  <c r="I7" i="18"/>
  <c r="AC6" i="18"/>
  <c r="AB6" i="18"/>
  <c r="Y6" i="18"/>
  <c r="Z6" i="18" s="1"/>
  <c r="T6" i="18"/>
  <c r="S6" i="18"/>
  <c r="U6" i="18" s="1"/>
  <c r="R6" i="18"/>
  <c r="O6" i="18"/>
  <c r="L6" i="18"/>
  <c r="I6" i="18"/>
  <c r="Y5" i="18"/>
  <c r="T5" i="18"/>
  <c r="S5" i="18"/>
  <c r="R5" i="18"/>
  <c r="R50" i="18" s="1"/>
  <c r="O5" i="18"/>
  <c r="L5" i="18"/>
  <c r="L50" i="18" s="1"/>
  <c r="I5" i="18"/>
  <c r="I50" i="18" s="1"/>
  <c r="S50" i="18" l="1"/>
  <c r="U5" i="18"/>
  <c r="Z5" i="18"/>
  <c r="X50" i="18"/>
  <c r="Y27" i="18"/>
  <c r="Y28" i="18"/>
  <c r="Z28" i="18" s="1"/>
  <c r="F48" i="9"/>
  <c r="E48" i="9"/>
  <c r="Y50" i="18" l="1"/>
  <c r="Z27" i="18"/>
  <c r="AE8" i="18" s="1"/>
  <c r="Z50" i="18"/>
  <c r="AE6" i="18"/>
  <c r="AD14" i="18"/>
  <c r="AD6" i="18"/>
  <c r="AB7" i="18" l="1"/>
  <c r="AC7" i="18"/>
  <c r="AB15" i="18"/>
  <c r="AC15" i="18"/>
  <c r="AD15" i="18" l="1"/>
  <c r="AD7" i="18"/>
</calcChain>
</file>

<file path=xl/sharedStrings.xml><?xml version="1.0" encoding="utf-8"?>
<sst xmlns="http://schemas.openxmlformats.org/spreadsheetml/2006/main" count="361" uniqueCount="250">
  <si>
    <t xml:space="preserve">TRAINED ENGINEERS &amp; STUDENTS  2026                                     </t>
  </si>
  <si>
    <t>No</t>
  </si>
  <si>
    <t>Date</t>
  </si>
  <si>
    <t xml:space="preserve">Training name &amp; Company </t>
  </si>
  <si>
    <t>Type</t>
  </si>
  <si>
    <t>Duration</t>
  </si>
  <si>
    <t>WAFER FAB</t>
  </si>
  <si>
    <t>FA / MA</t>
  </si>
  <si>
    <t>AI</t>
  </si>
  <si>
    <t>OTHERS</t>
  </si>
  <si>
    <t>TOTAL</t>
  </si>
  <si>
    <t>Bumiputera status</t>
  </si>
  <si>
    <t>Total Charges (RM)</t>
  </si>
  <si>
    <t>SST 8%
(RM)</t>
  </si>
  <si>
    <t>Final Charges (RM)</t>
  </si>
  <si>
    <t>Workshop</t>
  </si>
  <si>
    <t>Training</t>
  </si>
  <si>
    <t>Total</t>
  </si>
  <si>
    <t>Bumiputera</t>
  </si>
  <si>
    <t>Non-Bumiputera</t>
  </si>
  <si>
    <t>No. of Pax</t>
  </si>
  <si>
    <t>Revenue (RM)            (including 8%SST)</t>
  </si>
  <si>
    <t>Al Prompt Skills: Best Practices for Organization Productivity
(MIMOS In-House Training)</t>
  </si>
  <si>
    <t>1 day</t>
  </si>
  <si>
    <t>28- 29 Jan 26</t>
  </si>
  <si>
    <t>AI System Thinking: Training for Efficiency
(Public Class)</t>
  </si>
  <si>
    <t>2 days</t>
  </si>
  <si>
    <t>As of Q1'2025</t>
  </si>
  <si>
    <t>9-10 Feb 26</t>
  </si>
  <si>
    <t>10-11 Feb 26</t>
  </si>
  <si>
    <t>AI System Thinking: Training for Efficiency
(Koperasi In-House Training)</t>
  </si>
  <si>
    <t>As of Q2'2025</t>
  </si>
  <si>
    <t>Series 1: Turning Business Models in Winning Biz</t>
  </si>
  <si>
    <t>Applied AI for Office Productivity &amp; Workflow Efficiency (Intermediate)
(MIMOS In-House Training)</t>
  </si>
  <si>
    <t>As of Q3'2025</t>
  </si>
  <si>
    <t>5-6 Mar 26</t>
  </si>
  <si>
    <t>Semiconductor Industry Overview Training
(SIRIM Academy In-House Training)</t>
  </si>
  <si>
    <t>10-11 Mar 26</t>
  </si>
  <si>
    <t>AI System Thinking Training for PLC Student
(Pahang Skills In-House Training)</t>
  </si>
  <si>
    <t>As of Q4'2025</t>
  </si>
  <si>
    <t>2- 3 April 2026</t>
  </si>
  <si>
    <t>Leadership &amp; Shared Vision: Aligning People, Purpose &amp; Performance
(MIMOS Services SB In-House Training)</t>
  </si>
  <si>
    <t>Industrial Design Workshop
(UniKL MIDI In-House Training)</t>
  </si>
  <si>
    <t>YTD</t>
  </si>
  <si>
    <t>13-15 April 26</t>
  </si>
  <si>
    <t>AI Vibe Coding
(KESUMA In-House Training)</t>
  </si>
  <si>
    <t>3 days</t>
  </si>
  <si>
    <t>20- 24 April 2026</t>
  </si>
  <si>
    <t>TTT: Certified AI Trainer and AI Integration
(Public Class)</t>
  </si>
  <si>
    <t>5 days</t>
  </si>
  <si>
    <t>21-22 April 2026</t>
  </si>
  <si>
    <t>Profesional Development Programme on Public Sector Risk Mitigation through AI-enabled Planning and Budgeting for Ministry of Finance, Tanzania</t>
  </si>
  <si>
    <t>Kursus Kemahiran Digital Kontraktor: Penyediaan Laporan dan Visual Projek Canva AI
(Public Class)</t>
  </si>
  <si>
    <t>1  day</t>
  </si>
  <si>
    <t>Ergonomic Training
(UPM In-House Training)</t>
  </si>
  <si>
    <t>Introduction to Canva AI</t>
  </si>
  <si>
    <t xml:space="preserve">AI Practitioner Series 1: Slide Creation Using AI </t>
  </si>
  <si>
    <t>0.5 day</t>
  </si>
  <si>
    <t>11-15 May 2026</t>
  </si>
  <si>
    <t>TTT: Certified AI Trainer and AI Integration
(MINDEF Cohort 1 In-House Training)</t>
  </si>
  <si>
    <t>13-14 May 2026</t>
  </si>
  <si>
    <t>AI System Thinking: Training for Efficiency
(PUNB In-House Training)</t>
  </si>
  <si>
    <t>14-15 May 2026</t>
  </si>
  <si>
    <t>AI System Thinking: Training for Efficiency
(IKMA In-House Training)</t>
  </si>
  <si>
    <t>18-22 May 2026</t>
  </si>
  <si>
    <t>Project Management Professional Exam Prep Course
(MIMOS In-House Training)</t>
  </si>
  <si>
    <t>19-21 May 2026</t>
  </si>
  <si>
    <t>AI Technical Training for Work Efficiency
(MOF In-House Training)</t>
  </si>
  <si>
    <t>Industrial Semiconductor Workshop
(UniKL BMI Cohort 1 In-House Training)</t>
  </si>
  <si>
    <t>Industrial Semiconductor Workshop
(UniKL BMI Cohort 2 In-House Training)</t>
  </si>
  <si>
    <t>4-5 June 2026</t>
  </si>
  <si>
    <t>Leveraging Al to Accelerate End-to-End Tender Preparation and Proposal Development
(MIMOS Solutions SB In-House Training)</t>
  </si>
  <si>
    <t>8-9 June 2026</t>
  </si>
  <si>
    <t>Al for Office Productivity
(KETENGAH In-House Training)</t>
  </si>
  <si>
    <t>8-29 June 2026</t>
  </si>
  <si>
    <t>TTT: Front-End Wafer Fabrication Level 4 Training
(JMTI In-House Training)</t>
  </si>
  <si>
    <t>15 days</t>
  </si>
  <si>
    <t>9-10 June 2026</t>
  </si>
  <si>
    <t>AI System Thinking: Training for Efficiency
(INSKEN In-House Training)</t>
  </si>
  <si>
    <t>15-16 June 2026</t>
  </si>
  <si>
    <t>AI Vibe Coding
(KBS In-House Training)</t>
  </si>
  <si>
    <t xml:space="preserve">AI Practitioner Series 2: AI Powered Video/Image Editing &amp; Content Creation </t>
  </si>
  <si>
    <t>-</t>
  </si>
  <si>
    <t>Al-Powered Video/Image Editing &amp; Content Creation Masterclass</t>
  </si>
  <si>
    <t>23-24 June 2026</t>
  </si>
  <si>
    <t>Bulletproofing Your Tech Business
(MIMOS In-House Training)</t>
  </si>
  <si>
    <t>25-26 June 2026</t>
  </si>
  <si>
    <t>AI Training
(Kementerian Digital In-House Training)</t>
  </si>
  <si>
    <t>29 June-8 July 2026</t>
  </si>
  <si>
    <t>Comprehensive Semiconductor Manufacturing, Analytical Characterization and Failure Analysis
(DENSO In-House Training)</t>
  </si>
  <si>
    <t>8 days</t>
  </si>
  <si>
    <t>1 NADI 1 Prompt Engineering Modul 1 Sesi 1</t>
  </si>
  <si>
    <t>1 NADI 1 Prompt Engineering Modul 1 Sesi 2</t>
  </si>
  <si>
    <t>NTW2026 Training: Quantum Cybersecurity</t>
  </si>
  <si>
    <t>NTW2026 Training: Understanding Customer Needs</t>
  </si>
  <si>
    <t>AI Practitioners Series 3: Data Analytics &amp; Data Visualisation using AI</t>
  </si>
  <si>
    <t>1 NADI 1 Prompt Engineering Modul 1 Sesi 3</t>
  </si>
  <si>
    <t>1 NADI 1 Prompt Engineering Modul 2 Sesi 1</t>
  </si>
  <si>
    <t>1 NADI 1 Prompt Engineering Modul 2 Sesi 2</t>
  </si>
  <si>
    <t>1 NADI 1 Prompt Engineering Modul 2 Sesi 3</t>
  </si>
  <si>
    <t>27-31 July 2026</t>
  </si>
  <si>
    <t>TTT: Certified AI Trainer and AI Integration
(IAB In-House Training)</t>
  </si>
  <si>
    <t>5-6 August 2026</t>
  </si>
  <si>
    <t>AI System Thinking: Training for Efficiency
(UZMA In-House Training)</t>
  </si>
  <si>
    <t>IIUM</t>
  </si>
  <si>
    <t>LEE MAI WOON</t>
  </si>
  <si>
    <t>UniKL MIDI</t>
  </si>
  <si>
    <t>Three-Day Hands-On Training in Ansys Finite Element Analysis for Advanced 
IC Packaging (Basic Level)</t>
  </si>
  <si>
    <t>Onsemi Semiconductor Wafer Fabrication Training</t>
  </si>
  <si>
    <t>Name</t>
  </si>
  <si>
    <t>Cert No</t>
  </si>
  <si>
    <t>Bumi</t>
  </si>
  <si>
    <t>Non-Bumi</t>
  </si>
  <si>
    <t>#</t>
  </si>
  <si>
    <t>Week 1 (9, 10 &amp; 11July)</t>
  </si>
  <si>
    <t>Week 2 (15&amp;16July)</t>
  </si>
  <si>
    <t>DR. HASLIZA HASSAN</t>
  </si>
  <si>
    <t>MIMOS MA CoC 2024-0038</t>
  </si>
  <si>
    <t>Sariman Tasmin</t>
  </si>
  <si>
    <t>DR. MOHD SYAFIQ FAIZ NOR ASHIKIN</t>
  </si>
  <si>
    <t>MIMOS MA CoC 2024-0039</t>
  </si>
  <si>
    <t>Raja Roziah Raja Rahmat</t>
  </si>
  <si>
    <t>DR. LEILA SABEHA ASMAA HASSEIN BEY</t>
  </si>
  <si>
    <t>MIMOS MA CoC 2024-0040</t>
  </si>
  <si>
    <t>Mohd Hezri Abu Bakar</t>
  </si>
  <si>
    <t>JEE CHONG XIAN</t>
  </si>
  <si>
    <t>MIMOS MA CoC 2024-0041</t>
  </si>
  <si>
    <t>Nurul Aqilah Abu Hurairah</t>
  </si>
  <si>
    <t>Zaleha Abu Kasim</t>
  </si>
  <si>
    <t>DR. NUR SYAZANA RASHIDI</t>
  </si>
  <si>
    <t>MIMOS MA CoC 2024-0042</t>
  </si>
  <si>
    <t>Sarmila Kamalanathan</t>
  </si>
  <si>
    <t>Chee Wai Chow</t>
  </si>
  <si>
    <t>CHIN YEAN XIN</t>
  </si>
  <si>
    <t>MIMOS MA CoC 2024-0043</t>
  </si>
  <si>
    <t>Guo Kun Yeng</t>
  </si>
  <si>
    <t>TAN ZHE HORNG</t>
  </si>
  <si>
    <t>MIMOS MA CoC 2024-0044</t>
  </si>
  <si>
    <t>Saziela Senin</t>
  </si>
  <si>
    <t>SITI INTAN UMAIRAH KHADZAR</t>
  </si>
  <si>
    <t>MIMOS MA CoC 2024-0045</t>
  </si>
  <si>
    <t>Devaki Suppiah</t>
  </si>
  <si>
    <t>DR. MUHAMMAD NUBLI ZULKIFLI</t>
  </si>
  <si>
    <t>MIMOS MA CoC 2024-0046</t>
  </si>
  <si>
    <t>Nur Hafizah Baharim</t>
  </si>
  <si>
    <t>SARMELEN VIJAYAN</t>
  </si>
  <si>
    <t>MIMOS MA CoC 2024-0047</t>
  </si>
  <si>
    <t>Jocelyn Chiew</t>
  </si>
  <si>
    <t>MUHAMMAD LUQMAN ADIB MOHD SHAHAR</t>
  </si>
  <si>
    <t>MIMOS MA CoC 2024-0048</t>
  </si>
  <si>
    <t>Khai Wen Chia</t>
  </si>
  <si>
    <t>BEN LEE HOW YIN</t>
  </si>
  <si>
    <t>MIMOS MA CoC 2024-0049</t>
  </si>
  <si>
    <t>PUTERI NUR AISYAH ABD RAHIM</t>
  </si>
  <si>
    <t>MIMOS MA CoC 2024-0050</t>
  </si>
  <si>
    <t>DR. AINA BAHARUDDIN</t>
  </si>
  <si>
    <t>MIMOS MA CoC 2024-0051</t>
  </si>
  <si>
    <t>NUR ISYAKIERAH MOHD AFIZAL</t>
  </si>
  <si>
    <t>MIMOS MA CoC 2024-0052</t>
  </si>
  <si>
    <t>DICKY POH TING LE</t>
  </si>
  <si>
    <t>MIMOS MA CoC 2024-0053</t>
  </si>
  <si>
    <t>LYU JIAQI</t>
  </si>
  <si>
    <t>MIMOS MA CoC 2024-0054</t>
  </si>
  <si>
    <t>DR. JULIE ROSLITA RUSLI</t>
  </si>
  <si>
    <t>MIMOS MA CoC 2024-0055</t>
  </si>
  <si>
    <t>VINCENT LOH WEI JIE</t>
  </si>
  <si>
    <t>MIMOS MA CoC 2024-0056</t>
  </si>
  <si>
    <t>NUR NAZIFA CHE SAMSURIA</t>
  </si>
  <si>
    <t>MIMOS MA CoC 2024-0057</t>
  </si>
  <si>
    <t>NUR RASYIQAH MOHD FAUZI</t>
  </si>
  <si>
    <t>MIMOS MA CoC 2024-0058</t>
  </si>
  <si>
    <t>AINA SYAZWIN MOHD SHUKOR</t>
  </si>
  <si>
    <t>MIMOS MA CoC 2024-0059</t>
  </si>
  <si>
    <t>CHUA HUANG SHEN (MASON)</t>
  </si>
  <si>
    <t>MIMOS MA CoC 2024-0060</t>
  </si>
  <si>
    <t>TUAN NORJIHAN TUAN YAAKUB</t>
  </si>
  <si>
    <t>MIMOS MA CoC 2024-0061</t>
  </si>
  <si>
    <t>KALAIVANAN KUMARAN</t>
  </si>
  <si>
    <t>MIMOS MA CoC 2024-0062</t>
  </si>
  <si>
    <t>MOHD IZZAT NORDIN</t>
  </si>
  <si>
    <t>MIMOS MA CoC 2024-0063</t>
  </si>
  <si>
    <t>KU NUR AFRINA KU AZMAN SHAH</t>
  </si>
  <si>
    <t>MIMOS MA CoC 2024-0064</t>
  </si>
  <si>
    <t>NUR SYAHIRAH OSMAN</t>
  </si>
  <si>
    <t>MIMOS MA CoC 2024-0065</t>
  </si>
  <si>
    <t>NUR HASALLI IBRAHIM</t>
  </si>
  <si>
    <t>MIMOS MA CoC 2024-0066</t>
  </si>
  <si>
    <t>EUGENE LING WEI HONG</t>
  </si>
  <si>
    <t>MIMOS MA CoC 2024-0067</t>
  </si>
  <si>
    <t>SOH ARN ER</t>
  </si>
  <si>
    <t>MIMOS MA CoC 2024-0068</t>
  </si>
  <si>
    <t>DR. HAW CHOON YIAN</t>
  </si>
  <si>
    <t>MIMOS MA CoC 2024-0069</t>
  </si>
  <si>
    <t>SITI ZUULAIKA REJAL</t>
  </si>
  <si>
    <t>MIMOS MA CoC 2024-0070</t>
  </si>
  <si>
    <t>NURUL HAZIERAH KAMARUDDIN</t>
  </si>
  <si>
    <t>MIMOS MA CoC 2024-0071</t>
  </si>
  <si>
    <t>SHAFARINA AZLINDA AHMAD KAMAL</t>
  </si>
  <si>
    <t>MIMOS MA CoC 2024-0072</t>
  </si>
  <si>
    <t>IRFAN YAHAYA</t>
  </si>
  <si>
    <t>MIMOS MA CoC 2024-0073</t>
  </si>
  <si>
    <t>DR. NURUL HIDAYAH ISMAIL</t>
  </si>
  <si>
    <t>MIMOS MA CoC 2024-0074</t>
  </si>
  <si>
    <t>DR. SITI FATIMAH KAMARUDIN</t>
  </si>
  <si>
    <t>MIMOS MA CoC 2024-0075</t>
  </si>
  <si>
    <t>MAZLIN MAN</t>
  </si>
  <si>
    <t>MIMOS MA CoC 2024-0076</t>
  </si>
  <si>
    <t>MOHD SAIFOL NIZAM MOHD YUSOF</t>
  </si>
  <si>
    <t>MIMOS MA CoC 2024-0077</t>
  </si>
  <si>
    <t>MOHD HILMY AZUAN HAMZAH</t>
  </si>
  <si>
    <t>MIMOS MA CoC 2024-0078</t>
  </si>
  <si>
    <t>MUHAMAD FARIS ZAHARI</t>
  </si>
  <si>
    <t>MIMOS MA CoC 2024-0079</t>
  </si>
  <si>
    <t>MIMOS MA CoC 2024-0080</t>
  </si>
  <si>
    <t>DR MOHD FAIZOL ABDULLAH</t>
  </si>
  <si>
    <t>MIMOS MA CoC 2024-0081</t>
  </si>
  <si>
    <t>Requestor</t>
  </si>
  <si>
    <t>Company</t>
  </si>
  <si>
    <t>Description</t>
  </si>
  <si>
    <t>Qty</t>
  </si>
  <si>
    <t>Quotation No</t>
  </si>
  <si>
    <t>Amount</t>
  </si>
  <si>
    <t>Dr. Umi Zulaikha</t>
  </si>
  <si>
    <t>Agensi Nuklear Malaysia</t>
  </si>
  <si>
    <t>Wafer Fabrication Process Training</t>
  </si>
  <si>
    <t>MSSB-0157</t>
  </si>
  <si>
    <t>Fazida</t>
  </si>
  <si>
    <t>Universiti Kebangsaan Malaysia</t>
  </si>
  <si>
    <t>Cleanroom Jumpsuit, Hood &amp; Booties and Disposal</t>
  </si>
  <si>
    <t>MSSB-0218</t>
  </si>
  <si>
    <t>Glove, Hair Cover &amp; Face Mask</t>
  </si>
  <si>
    <t>Rosnah Zakaria</t>
  </si>
  <si>
    <t>Industrial Design Workshop</t>
  </si>
  <si>
    <t>MSSB-0219</t>
  </si>
  <si>
    <t>Uzaireen Farhana</t>
  </si>
  <si>
    <t>DENSO Malaysia Sdn Bhd</t>
  </si>
  <si>
    <t>Semiconductor Wafer Fabrication Training</t>
  </si>
  <si>
    <t>MSSB-0223</t>
  </si>
  <si>
    <t>Assoc. Dr Freedy</t>
  </si>
  <si>
    <t>University of Nottingham</t>
  </si>
  <si>
    <t>MSSB-0248</t>
  </si>
  <si>
    <t>Dr. Nurul Fadzlin</t>
  </si>
  <si>
    <t>MSSB-0288</t>
  </si>
  <si>
    <t>Dr Norazreen Abd Aziz</t>
  </si>
  <si>
    <t>Cleanroom Jumpsuit, Hood &amp; Booties and Disposal Glove, Hair Cover &amp; Face Mask</t>
  </si>
  <si>
    <t>MSSB-0350</t>
  </si>
  <si>
    <t>Jarfrulhizam Jaafar</t>
  </si>
  <si>
    <t>UMK</t>
  </si>
  <si>
    <t xml:space="preserve">Industrial Design Workshop (1-day) </t>
  </si>
  <si>
    <t>MSSB-0351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</si>
</sst>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rgb="FF0070C0"/>
      <name val="Century Gothic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sz val="9"/>
      <name val="Century Gothic"/>
      <family val="2"/>
    </font>
    <font>
      <sz val="10"/>
      <color rgb="FF000000"/>
      <name val="Times New Roman"/>
      <family val="1"/>
    </font>
    <font>
      <sz val="9"/>
      <color theme="1"/>
      <name val="Century Gothic"/>
    </font>
    <font>
      <sz val="9"/>
      <color rgb="FF000000"/>
      <name val="Century Gothic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/>
  </cellStyleXfs>
  <cellXfs count="140">
    <xf numFmtId="0" fontId="0" fillId="0" borderId="0" xfId="0"/>
    <xf numFmtId="1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" fontId="3" fillId="4" borderId="2" xfId="0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1" fontId="3" fillId="6" borderId="2" xfId="0" applyNumberFormat="1" applyFont="1" applyFill="1" applyBorder="1" applyAlignment="1">
      <alignment horizontal="center" vertical="center"/>
    </xf>
    <xf numFmtId="1" fontId="3" fillId="7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3" fillId="8" borderId="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left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left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right" vertical="center"/>
    </xf>
    <xf numFmtId="0" fontId="7" fillId="9" borderId="9" xfId="0" applyFont="1" applyFill="1" applyBorder="1" applyAlignment="1">
      <alignment vertical="center"/>
    </xf>
    <xf numFmtId="0" fontId="7" fillId="9" borderId="10" xfId="0" applyFont="1" applyFill="1" applyBorder="1" applyAlignment="1">
      <alignment vertical="center"/>
    </xf>
    <xf numFmtId="0" fontId="7" fillId="9" borderId="10" xfId="0" applyFont="1" applyFill="1" applyBorder="1" applyAlignment="1">
      <alignment horizontal="right" vertical="center"/>
    </xf>
    <xf numFmtId="0" fontId="6" fillId="9" borderId="10" xfId="0" applyFont="1" applyFill="1" applyBorder="1" applyAlignment="1">
      <alignment horizontal="right" vertical="center"/>
    </xf>
    <xf numFmtId="0" fontId="0" fillId="9" borderId="0" xfId="0" applyFill="1"/>
    <xf numFmtId="4" fontId="6" fillId="9" borderId="10" xfId="0" applyNumberFormat="1" applyFont="1" applyFill="1" applyBorder="1" applyAlignment="1">
      <alignment horizontal="right" vertical="center"/>
    </xf>
    <xf numFmtId="0" fontId="7" fillId="10" borderId="9" xfId="0" applyFont="1" applyFill="1" applyBorder="1" applyAlignment="1">
      <alignment vertical="center"/>
    </xf>
    <xf numFmtId="0" fontId="7" fillId="10" borderId="10" xfId="0" applyFont="1" applyFill="1" applyBorder="1" applyAlignment="1">
      <alignment vertical="center"/>
    </xf>
    <xf numFmtId="0" fontId="7" fillId="10" borderId="10" xfId="0" applyFont="1" applyFill="1" applyBorder="1" applyAlignment="1">
      <alignment horizontal="right" vertical="center"/>
    </xf>
    <xf numFmtId="4" fontId="6" fillId="10" borderId="10" xfId="0" applyNumberFormat="1" applyFont="1" applyFill="1" applyBorder="1" applyAlignment="1">
      <alignment horizontal="right" vertical="center"/>
    </xf>
    <xf numFmtId="0" fontId="0" fillId="10" borderId="0" xfId="0" applyFill="1"/>
    <xf numFmtId="0" fontId="7" fillId="9" borderId="11" xfId="0" applyFont="1" applyFill="1" applyBorder="1" applyAlignment="1">
      <alignment vertical="center" wrapText="1"/>
    </xf>
    <xf numFmtId="0" fontId="7" fillId="9" borderId="10" xfId="0" applyFont="1" applyFill="1" applyBorder="1" applyAlignment="1">
      <alignment vertical="center" wrapText="1"/>
    </xf>
    <xf numFmtId="0" fontId="8" fillId="11" borderId="2" xfId="0" applyFont="1" applyFill="1" applyBorder="1" applyAlignment="1">
      <alignment horizontal="center" vertical="center"/>
    </xf>
    <xf numFmtId="166" fontId="4" fillId="2" borderId="0" xfId="1" applyNumberFormat="1" applyFont="1" applyFill="1" applyAlignment="1">
      <alignment horizontal="center" vertical="top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1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0" fillId="0" borderId="7" xfId="0" applyBorder="1"/>
    <xf numFmtId="0" fontId="11" fillId="0" borderId="9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3" fillId="11" borderId="7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0" fontId="13" fillId="9" borderId="10" xfId="0" applyFont="1" applyFill="1" applyBorder="1" applyAlignment="1">
      <alignment vertical="center"/>
    </xf>
    <xf numFmtId="1" fontId="10" fillId="2" borderId="2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166" fontId="2" fillId="2" borderId="0" xfId="1" applyNumberFormat="1" applyFont="1" applyFill="1" applyAlignment="1">
      <alignment horizontal="center" vertical="top"/>
    </xf>
    <xf numFmtId="0" fontId="9" fillId="11" borderId="3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4" fontId="10" fillId="2" borderId="2" xfId="0" applyNumberFormat="1" applyFont="1" applyFill="1" applyBorder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" fontId="4" fillId="2" borderId="3" xfId="0" applyNumberFormat="1" applyFont="1" applyFill="1" applyBorder="1" applyAlignment="1">
      <alignment horizontal="center" vertical="center"/>
    </xf>
    <xf numFmtId="164" fontId="4" fillId="2" borderId="16" xfId="0" applyNumberFormat="1" applyFont="1" applyFill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1" fontId="4" fillId="2" borderId="16" xfId="0" applyNumberFormat="1" applyFont="1" applyFill="1" applyBorder="1" applyAlignment="1">
      <alignment horizontal="center" vertical="center"/>
    </xf>
    <xf numFmtId="1" fontId="4" fillId="2" borderId="20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165" fontId="4" fillId="2" borderId="16" xfId="0" applyNumberFormat="1" applyFont="1" applyFill="1" applyBorder="1" applyAlignment="1">
      <alignment horizontal="left" vertical="center" wrapText="1"/>
    </xf>
    <xf numFmtId="165" fontId="4" fillId="2" borderId="1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164" fontId="4" fillId="2" borderId="15" xfId="0" applyNumberFormat="1" applyFont="1" applyFill="1" applyBorder="1" applyAlignment="1">
      <alignment horizontal="center" vertical="center"/>
    </xf>
    <xf numFmtId="165" fontId="4" fillId="2" borderId="15" xfId="0" applyNumberFormat="1" applyFont="1" applyFill="1" applyBorder="1" applyAlignment="1">
      <alignment horizontal="left" vertical="center" wrapText="1"/>
    </xf>
    <xf numFmtId="165" fontId="4" fillId="2" borderId="6" xfId="0" applyNumberFormat="1" applyFont="1" applyFill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164" fontId="4" fillId="2" borderId="19" xfId="0" applyNumberFormat="1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 wrapText="1"/>
    </xf>
    <xf numFmtId="1" fontId="4" fillId="2" borderId="24" xfId="0" applyNumberFormat="1" applyFont="1" applyFill="1" applyBorder="1" applyAlignment="1">
      <alignment horizontal="center" vertical="center"/>
    </xf>
    <xf numFmtId="164" fontId="4" fillId="2" borderId="24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left" vertical="center" wrapText="1"/>
    </xf>
    <xf numFmtId="165" fontId="4" fillId="2" borderId="20" xfId="0" applyNumberFormat="1" applyFont="1" applyFill="1" applyBorder="1" applyAlignment="1">
      <alignment horizontal="center" vertical="center" wrapText="1"/>
    </xf>
    <xf numFmtId="164" fontId="4" fillId="2" borderId="22" xfId="0" applyNumberFormat="1" applyFont="1" applyFill="1" applyBorder="1" applyAlignment="1">
      <alignment horizontal="center" vertical="center"/>
    </xf>
    <xf numFmtId="164" fontId="4" fillId="2" borderId="21" xfId="0" applyNumberFormat="1" applyFont="1" applyFill="1" applyBorder="1" applyAlignment="1">
      <alignment horizontal="center" vertical="center"/>
    </xf>
    <xf numFmtId="164" fontId="9" fillId="0" borderId="22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 wrapText="1"/>
    </xf>
    <xf numFmtId="165" fontId="5" fillId="2" borderId="16" xfId="0" applyNumberFormat="1" applyFont="1" applyFill="1" applyBorder="1" applyAlignment="1">
      <alignment horizontal="left" vertical="center" wrapText="1"/>
    </xf>
    <xf numFmtId="165" fontId="5" fillId="2" borderId="16" xfId="0" applyNumberFormat="1" applyFont="1" applyFill="1" applyBorder="1" applyAlignment="1">
      <alignment horizontal="center" vertical="center" wrapText="1"/>
    </xf>
    <xf numFmtId="1" fontId="5" fillId="2" borderId="16" xfId="0" applyNumberFormat="1" applyFont="1" applyFill="1" applyBorder="1" applyAlignment="1">
      <alignment horizontal="center" vertical="center"/>
    </xf>
    <xf numFmtId="164" fontId="5" fillId="2" borderId="16" xfId="0" applyNumberFormat="1" applyFont="1" applyFill="1" applyBorder="1" applyAlignment="1">
      <alignment horizontal="center" vertical="center"/>
    </xf>
    <xf numFmtId="0" fontId="18" fillId="0" borderId="16" xfId="0" applyFont="1" applyBorder="1"/>
    <xf numFmtId="165" fontId="4" fillId="2" borderId="24" xfId="0" applyNumberFormat="1" applyFont="1" applyFill="1" applyBorder="1" applyAlignment="1">
      <alignment horizontal="left" vertical="center" wrapText="1"/>
    </xf>
    <xf numFmtId="165" fontId="4" fillId="2" borderId="14" xfId="0" applyNumberFormat="1" applyFont="1" applyFill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1" fontId="4" fillId="2" borderId="5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17" xfId="0" applyNumberFormat="1" applyFont="1" applyFill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/>
    </xf>
    <xf numFmtId="165" fontId="4" fillId="2" borderId="25" xfId="0" applyNumberFormat="1" applyFont="1" applyFill="1" applyBorder="1" applyAlignment="1">
      <alignment horizontal="left" vertical="center" wrapText="1"/>
    </xf>
    <xf numFmtId="165" fontId="4" fillId="2" borderId="6" xfId="0" applyNumberFormat="1" applyFont="1" applyFill="1" applyBorder="1" applyAlignment="1">
      <alignment horizontal="center" vertical="center" wrapText="1"/>
    </xf>
    <xf numFmtId="164" fontId="4" fillId="2" borderId="15" xfId="0" quotePrefix="1" applyNumberFormat="1" applyFont="1" applyFill="1" applyBorder="1" applyAlignment="1">
      <alignment horizontal="center" vertical="center"/>
    </xf>
    <xf numFmtId="164" fontId="9" fillId="0" borderId="16" xfId="0" quotePrefix="1" applyNumberFormat="1" applyFont="1" applyBorder="1" applyAlignment="1">
      <alignment horizontal="center" vertical="center"/>
    </xf>
    <xf numFmtId="1" fontId="17" fillId="2" borderId="2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1" fontId="3" fillId="7" borderId="3" xfId="0" applyNumberFormat="1" applyFont="1" applyFill="1" applyBorder="1" applyAlignment="1">
      <alignment horizontal="center" vertical="center"/>
    </xf>
    <xf numFmtId="1" fontId="3" fillId="7" borderId="4" xfId="0" applyNumberFormat="1" applyFont="1" applyFill="1" applyBorder="1" applyAlignment="1">
      <alignment horizontal="center" vertical="center"/>
    </xf>
    <xf numFmtId="1" fontId="3" fillId="7" borderId="5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3" fillId="8" borderId="2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1" fontId="3" fillId="2" borderId="0" xfId="0" applyNumberFormat="1" applyFont="1" applyFill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left" vertical="center" wrapText="1"/>
    </xf>
    <xf numFmtId="165" fontId="3" fillId="3" borderId="6" xfId="0" applyNumberFormat="1" applyFont="1" applyFill="1" applyBorder="1" applyAlignment="1">
      <alignment horizontal="left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3" fillId="3" borderId="6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3" fillId="3" borderId="6" xfId="0" applyNumberFormat="1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1" fontId="3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6" fillId="9" borderId="12" xfId="0" applyFont="1" applyFill="1" applyBorder="1" applyAlignment="1">
      <alignment horizontal="right" vertical="center"/>
    </xf>
    <xf numFmtId="0" fontId="6" fillId="9" borderId="9" xfId="0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0" fontId="7" fillId="9" borderId="9" xfId="0" applyFont="1" applyFill="1" applyBorder="1" applyAlignment="1">
      <alignment vertical="center"/>
    </xf>
    <xf numFmtId="0" fontId="7" fillId="9" borderId="12" xfId="0" applyFont="1" applyFill="1" applyBorder="1" applyAlignment="1">
      <alignment horizontal="right" vertical="center"/>
    </xf>
    <xf numFmtId="0" fontId="7" fillId="9" borderId="9" xfId="0" applyFont="1" applyFill="1" applyBorder="1" applyAlignment="1">
      <alignment horizontal="right" vertical="center"/>
    </xf>
  </cellXfs>
  <cellStyles count="3">
    <cellStyle name="Normal" xfId="0" builtinId="0"/>
    <cellStyle name="Normal 2" xfId="2" xr:uid="{00000000-0005-0000-0000-000031000000}"/>
    <cellStyle name="Percent" xfId="1" builtinId="5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6CD6-881A-4330-A0A1-3AB582335D67}">
  <dimension ref="A1:AF81"/>
  <sheetViews>
    <sheetView tabSelected="1" workbookViewId="0">
      <pane xSplit="4" ySplit="4" topLeftCell="E5" activePane="bottomRight" state="frozen"/>
      <selection pane="topRight"/>
      <selection pane="bottomLeft"/>
      <selection pane="bottomRight" activeCell="S1" sqref="S1:U1048576"/>
    </sheetView>
  </sheetViews>
  <sheetFormatPr defaultRowHeight="14.5"/>
  <cols>
    <col min="1" max="1" width="4.54296875" customWidth="1"/>
    <col min="2" max="2" width="7.1796875" customWidth="1"/>
    <col min="3" max="3" width="14.1796875" customWidth="1"/>
    <col min="4" max="4" width="50.81640625" customWidth="1"/>
    <col min="22" max="22" width="10.54296875" bestFit="1" customWidth="1"/>
    <col min="23" max="23" width="14.81640625" bestFit="1" customWidth="1"/>
    <col min="24" max="24" width="12.453125" customWidth="1"/>
    <col min="25" max="25" width="16" customWidth="1"/>
    <col min="26" max="26" width="16.54296875" customWidth="1"/>
  </cols>
  <sheetData>
    <row r="1" spans="1:32">
      <c r="A1" s="2"/>
      <c r="B1" s="14"/>
      <c r="C1" s="15"/>
      <c r="D1" s="15"/>
      <c r="E1" s="15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60"/>
      <c r="AA1" s="2"/>
      <c r="AB1" s="2"/>
      <c r="AC1" s="2"/>
      <c r="AD1" s="2"/>
      <c r="AE1" s="2"/>
      <c r="AF1" s="2"/>
    </row>
    <row r="2" spans="1:32" ht="15">
      <c r="A2" s="2"/>
      <c r="B2" s="119" t="s">
        <v>0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0"/>
      <c r="T2" s="120"/>
      <c r="U2" s="120"/>
      <c r="V2" s="1"/>
      <c r="W2" s="1"/>
      <c r="X2" s="1"/>
      <c r="Y2" s="1"/>
      <c r="Z2" s="60"/>
      <c r="AA2" s="2"/>
      <c r="AB2" s="2"/>
      <c r="AC2" s="2"/>
      <c r="AD2" s="2"/>
      <c r="AE2" s="2"/>
      <c r="AF2" s="2"/>
    </row>
    <row r="3" spans="1:32">
      <c r="A3" s="2"/>
      <c r="B3" s="121" t="s">
        <v>1</v>
      </c>
      <c r="C3" s="123" t="s">
        <v>2</v>
      </c>
      <c r="D3" s="123" t="s">
        <v>3</v>
      </c>
      <c r="E3" s="125" t="s">
        <v>4</v>
      </c>
      <c r="F3" s="127" t="s">
        <v>5</v>
      </c>
      <c r="G3" s="129" t="s">
        <v>6</v>
      </c>
      <c r="H3" s="129"/>
      <c r="I3" s="129"/>
      <c r="J3" s="130" t="s">
        <v>7</v>
      </c>
      <c r="K3" s="130"/>
      <c r="L3" s="130"/>
      <c r="M3" s="131" t="s">
        <v>8</v>
      </c>
      <c r="N3" s="131"/>
      <c r="O3" s="131"/>
      <c r="P3" s="112" t="s">
        <v>9</v>
      </c>
      <c r="Q3" s="113"/>
      <c r="R3" s="114"/>
      <c r="S3" s="115" t="s">
        <v>10</v>
      </c>
      <c r="T3" s="115"/>
      <c r="U3" s="115"/>
      <c r="V3" s="116" t="s">
        <v>11</v>
      </c>
      <c r="W3" s="116"/>
      <c r="X3" s="117" t="s">
        <v>12</v>
      </c>
      <c r="Y3" s="117" t="s">
        <v>13</v>
      </c>
      <c r="Z3" s="117" t="s">
        <v>14</v>
      </c>
      <c r="AA3" s="2"/>
      <c r="AB3" s="2"/>
      <c r="AC3" s="2"/>
      <c r="AD3" s="2"/>
      <c r="AE3" s="2"/>
      <c r="AF3" s="2"/>
    </row>
    <row r="4" spans="1:32" ht="15">
      <c r="A4" s="2"/>
      <c r="B4" s="122"/>
      <c r="C4" s="124"/>
      <c r="D4" s="124"/>
      <c r="E4" s="126"/>
      <c r="F4" s="128"/>
      <c r="G4" s="3" t="s">
        <v>15</v>
      </c>
      <c r="H4" s="3" t="s">
        <v>16</v>
      </c>
      <c r="I4" s="3" t="s">
        <v>17</v>
      </c>
      <c r="J4" s="4" t="s">
        <v>15</v>
      </c>
      <c r="K4" s="4" t="s">
        <v>16</v>
      </c>
      <c r="L4" s="4" t="s">
        <v>17</v>
      </c>
      <c r="M4" s="5" t="s">
        <v>15</v>
      </c>
      <c r="N4" s="5" t="s">
        <v>16</v>
      </c>
      <c r="O4" s="5" t="s">
        <v>17</v>
      </c>
      <c r="P4" s="6" t="s">
        <v>15</v>
      </c>
      <c r="Q4" s="6" t="s">
        <v>16</v>
      </c>
      <c r="R4" s="6" t="s">
        <v>17</v>
      </c>
      <c r="S4" s="7" t="s">
        <v>15</v>
      </c>
      <c r="T4" s="7" t="s">
        <v>16</v>
      </c>
      <c r="U4" s="7" t="s">
        <v>17</v>
      </c>
      <c r="V4" s="8" t="s">
        <v>18</v>
      </c>
      <c r="W4" s="8" t="s">
        <v>19</v>
      </c>
      <c r="X4" s="118"/>
      <c r="Y4" s="118"/>
      <c r="Z4" s="118"/>
      <c r="AA4" s="2"/>
      <c r="AB4" s="54" t="s">
        <v>20</v>
      </c>
      <c r="AC4" s="55"/>
      <c r="AD4" s="56"/>
      <c r="AE4" s="110" t="s">
        <v>21</v>
      </c>
      <c r="AF4" s="2"/>
    </row>
    <row r="5" spans="1:32" ht="23">
      <c r="A5" s="2"/>
      <c r="B5" s="9">
        <v>1</v>
      </c>
      <c r="C5" s="10">
        <v>46028</v>
      </c>
      <c r="D5" s="10" t="s">
        <v>22</v>
      </c>
      <c r="E5" s="10" t="s">
        <v>16</v>
      </c>
      <c r="F5" s="11" t="s">
        <v>23</v>
      </c>
      <c r="G5" s="12"/>
      <c r="H5" s="12"/>
      <c r="I5" s="12">
        <f>G5+H5</f>
        <v>0</v>
      </c>
      <c r="J5" s="12"/>
      <c r="K5" s="12"/>
      <c r="L5" s="12">
        <f>J5+K5</f>
        <v>0</v>
      </c>
      <c r="M5" s="12"/>
      <c r="N5" s="12">
        <v>17</v>
      </c>
      <c r="O5" s="12">
        <f>M5+N5</f>
        <v>17</v>
      </c>
      <c r="P5" s="12"/>
      <c r="Q5" s="12"/>
      <c r="R5" s="12">
        <f>P5+Q5</f>
        <v>0</v>
      </c>
      <c r="S5" s="12">
        <f>G5+J5+M5+P5</f>
        <v>0</v>
      </c>
      <c r="T5" s="12">
        <f>H5+K5+N5+Q5</f>
        <v>17</v>
      </c>
      <c r="U5" s="12">
        <f>S5+T5</f>
        <v>17</v>
      </c>
      <c r="V5" s="12">
        <v>14</v>
      </c>
      <c r="W5" s="62">
        <v>3</v>
      </c>
      <c r="X5" s="63">
        <v>8500</v>
      </c>
      <c r="Y5" s="63">
        <f>0.08*X5</f>
        <v>680</v>
      </c>
      <c r="Z5" s="64">
        <f>X5+Y5</f>
        <v>9180</v>
      </c>
      <c r="AA5" s="2"/>
      <c r="AB5" s="34" t="s">
        <v>18</v>
      </c>
      <c r="AC5" s="34" t="s">
        <v>19</v>
      </c>
      <c r="AD5" s="34" t="s">
        <v>17</v>
      </c>
      <c r="AE5" s="111"/>
      <c r="AF5" s="2"/>
    </row>
    <row r="6" spans="1:32" ht="23">
      <c r="A6" s="2"/>
      <c r="B6" s="9">
        <v>2</v>
      </c>
      <c r="C6" s="10" t="s">
        <v>24</v>
      </c>
      <c r="D6" s="10" t="s">
        <v>25</v>
      </c>
      <c r="E6" s="10" t="s">
        <v>16</v>
      </c>
      <c r="F6" s="11" t="s">
        <v>26</v>
      </c>
      <c r="G6" s="12"/>
      <c r="H6" s="12"/>
      <c r="I6" s="12">
        <f>G6+H6</f>
        <v>0</v>
      </c>
      <c r="J6" s="12"/>
      <c r="K6" s="12"/>
      <c r="L6" s="12">
        <f>J6+K6</f>
        <v>0</v>
      </c>
      <c r="M6" s="12"/>
      <c r="N6" s="12">
        <v>15</v>
      </c>
      <c r="O6" s="12">
        <f>M6+N6</f>
        <v>15</v>
      </c>
      <c r="P6" s="12"/>
      <c r="Q6" s="12"/>
      <c r="R6" s="12">
        <f>P6+Q6</f>
        <v>0</v>
      </c>
      <c r="S6" s="12">
        <f>G6+J6+M6+P6</f>
        <v>0</v>
      </c>
      <c r="T6" s="12">
        <f>H6+K6+N6+Q6</f>
        <v>15</v>
      </c>
      <c r="U6" s="12">
        <f>S6+T6</f>
        <v>15</v>
      </c>
      <c r="V6" s="12">
        <v>15</v>
      </c>
      <c r="W6" s="62">
        <v>0</v>
      </c>
      <c r="X6" s="63"/>
      <c r="Y6" s="63">
        <f t="shared" ref="Y6:Y25" si="0">0.08*X6</f>
        <v>0</v>
      </c>
      <c r="Z6" s="64">
        <f t="shared" ref="Z6:Z13" si="1">X6+Y6</f>
        <v>0</v>
      </c>
      <c r="AA6" s="52" t="s">
        <v>27</v>
      </c>
      <c r="AB6" s="51">
        <f>SUM(V5:V12)</f>
        <v>229</v>
      </c>
      <c r="AC6" s="51">
        <f t="shared" ref="AC6" si="2">SUM(W5:W12)</f>
        <v>22</v>
      </c>
      <c r="AD6" s="51">
        <f>SUM(U5:U12)</f>
        <v>251</v>
      </c>
      <c r="AE6" s="65">
        <f>SUM(Z5:Z12)</f>
        <v>49318.999199999998</v>
      </c>
      <c r="AF6" s="2"/>
    </row>
    <row r="7" spans="1:32" ht="23">
      <c r="A7" s="2"/>
      <c r="B7" s="9">
        <v>3</v>
      </c>
      <c r="C7" s="10" t="s">
        <v>28</v>
      </c>
      <c r="D7" s="10" t="s">
        <v>25</v>
      </c>
      <c r="E7" s="10" t="s">
        <v>16</v>
      </c>
      <c r="F7" s="11" t="s">
        <v>26</v>
      </c>
      <c r="G7" s="12"/>
      <c r="H7" s="12"/>
      <c r="I7" s="12">
        <f>G7+H7</f>
        <v>0</v>
      </c>
      <c r="J7" s="12"/>
      <c r="K7" s="12"/>
      <c r="L7" s="12">
        <f t="shared" ref="L7:L44" si="3">J7+K7</f>
        <v>0</v>
      </c>
      <c r="M7" s="12"/>
      <c r="N7" s="12">
        <v>17</v>
      </c>
      <c r="O7" s="12">
        <f t="shared" ref="O7:O42" si="4">M7+N7</f>
        <v>17</v>
      </c>
      <c r="P7" s="12"/>
      <c r="Q7" s="12"/>
      <c r="R7" s="12">
        <f t="shared" ref="R7:R44" si="5">P7+Q7</f>
        <v>0</v>
      </c>
      <c r="S7" s="12">
        <f t="shared" ref="S7:T20" si="6">G7+J7+M7+P7</f>
        <v>0</v>
      </c>
      <c r="T7" s="12">
        <f t="shared" si="6"/>
        <v>17</v>
      </c>
      <c r="U7" s="12">
        <f t="shared" ref="U7:U43" si="7">S7+T7</f>
        <v>17</v>
      </c>
      <c r="V7" s="12">
        <v>17</v>
      </c>
      <c r="W7" s="62">
        <v>0</v>
      </c>
      <c r="X7" s="63"/>
      <c r="Y7" s="63">
        <f t="shared" si="0"/>
        <v>0</v>
      </c>
      <c r="Z7" s="64">
        <f t="shared" si="1"/>
        <v>0</v>
      </c>
      <c r="AA7" s="52"/>
      <c r="AB7" s="35">
        <f>AB6/AD6</f>
        <v>0.91235059760956172</v>
      </c>
      <c r="AC7" s="35">
        <f>AC6/AD6</f>
        <v>8.7649402390438252E-2</v>
      </c>
      <c r="AD7" s="35">
        <f>SUM(AB7:AC7)</f>
        <v>1</v>
      </c>
      <c r="AE7" s="58"/>
      <c r="AF7" s="2"/>
    </row>
    <row r="8" spans="1:32" ht="23">
      <c r="A8" s="2"/>
      <c r="B8" s="9">
        <v>4</v>
      </c>
      <c r="C8" s="10" t="s">
        <v>29</v>
      </c>
      <c r="D8" s="10" t="s">
        <v>30</v>
      </c>
      <c r="E8" s="10" t="s">
        <v>16</v>
      </c>
      <c r="F8" s="11" t="s">
        <v>26</v>
      </c>
      <c r="G8" s="12"/>
      <c r="H8" s="12"/>
      <c r="I8" s="12">
        <f>G8+H8</f>
        <v>0</v>
      </c>
      <c r="J8" s="12"/>
      <c r="K8" s="12"/>
      <c r="L8" s="12">
        <f t="shared" si="3"/>
        <v>0</v>
      </c>
      <c r="M8" s="12"/>
      <c r="N8" s="12">
        <v>37</v>
      </c>
      <c r="O8" s="12">
        <f t="shared" si="4"/>
        <v>37</v>
      </c>
      <c r="P8" s="12"/>
      <c r="Q8" s="12"/>
      <c r="R8" s="12">
        <f>P8+Q8</f>
        <v>0</v>
      </c>
      <c r="S8" s="12">
        <f>G8+J8+M8+P8</f>
        <v>0</v>
      </c>
      <c r="T8" s="12">
        <f>H8+K8+N8+Q8</f>
        <v>37</v>
      </c>
      <c r="U8" s="12">
        <f>S8+T8</f>
        <v>37</v>
      </c>
      <c r="V8" s="12">
        <v>33</v>
      </c>
      <c r="W8" s="62">
        <v>4</v>
      </c>
      <c r="X8" s="63"/>
      <c r="Y8" s="63">
        <f t="shared" si="0"/>
        <v>0</v>
      </c>
      <c r="Z8" s="64">
        <f t="shared" si="1"/>
        <v>0</v>
      </c>
      <c r="AA8" s="52" t="s">
        <v>31</v>
      </c>
      <c r="AB8" s="51">
        <f>SUM(V13:V38)</f>
        <v>483</v>
      </c>
      <c r="AC8" s="51">
        <f>SUM(W13:W38)</f>
        <v>47</v>
      </c>
      <c r="AD8" s="51">
        <f>SUM(U13:U38)</f>
        <v>530</v>
      </c>
      <c r="AE8" s="65">
        <f>SUM(Z13:Z38)</f>
        <v>794246.50720000011</v>
      </c>
      <c r="AF8" s="2"/>
    </row>
    <row r="9" spans="1:32" ht="17.5">
      <c r="A9" s="2"/>
      <c r="B9" s="9">
        <v>5</v>
      </c>
      <c r="C9" s="10">
        <v>46064</v>
      </c>
      <c r="D9" s="10" t="s">
        <v>32</v>
      </c>
      <c r="E9" s="10" t="s">
        <v>16</v>
      </c>
      <c r="F9" s="11" t="s">
        <v>23</v>
      </c>
      <c r="G9" s="12"/>
      <c r="H9" s="12"/>
      <c r="I9" s="12">
        <f>G9+H9</f>
        <v>0</v>
      </c>
      <c r="J9" s="12"/>
      <c r="K9" s="12"/>
      <c r="L9" s="12">
        <f t="shared" si="3"/>
        <v>0</v>
      </c>
      <c r="M9" s="12"/>
      <c r="N9" s="12"/>
      <c r="O9" s="12">
        <f t="shared" si="4"/>
        <v>0</v>
      </c>
      <c r="P9" s="12"/>
      <c r="Q9" s="12">
        <v>103</v>
      </c>
      <c r="R9" s="12">
        <v>103</v>
      </c>
      <c r="S9" s="12">
        <f>G9+J9+M9+P9</f>
        <v>0</v>
      </c>
      <c r="T9" s="12">
        <v>103</v>
      </c>
      <c r="U9" s="12">
        <v>103</v>
      </c>
      <c r="V9" s="12">
        <v>91</v>
      </c>
      <c r="W9" s="62">
        <v>12</v>
      </c>
      <c r="X9" s="63"/>
      <c r="Y9" s="63">
        <f t="shared" si="0"/>
        <v>0</v>
      </c>
      <c r="Z9" s="64">
        <f t="shared" si="1"/>
        <v>0</v>
      </c>
      <c r="AA9" s="52"/>
      <c r="AB9" s="35">
        <f>AB8/AD8</f>
        <v>0.91132075471698115</v>
      </c>
      <c r="AC9" s="35">
        <f>AC8/AD8</f>
        <v>8.8679245283018862E-2</v>
      </c>
      <c r="AD9" s="35">
        <f>SUM(AB9:AC9)</f>
        <v>1</v>
      </c>
      <c r="AE9" s="58"/>
      <c r="AF9" s="2"/>
    </row>
    <row r="10" spans="1:32" ht="34.5">
      <c r="A10" s="2"/>
      <c r="B10" s="9">
        <v>6</v>
      </c>
      <c r="C10" s="10">
        <v>46086</v>
      </c>
      <c r="D10" s="78" t="s">
        <v>33</v>
      </c>
      <c r="E10" s="10" t="s">
        <v>16</v>
      </c>
      <c r="F10" s="11" t="s">
        <v>23</v>
      </c>
      <c r="G10" s="12"/>
      <c r="H10" s="12"/>
      <c r="I10" s="12">
        <f t="shared" ref="I10:I44" si="8">G10+H10</f>
        <v>0</v>
      </c>
      <c r="J10" s="12"/>
      <c r="K10" s="12"/>
      <c r="L10" s="12">
        <f t="shared" si="3"/>
        <v>0</v>
      </c>
      <c r="M10" s="12"/>
      <c r="N10" s="12">
        <v>26</v>
      </c>
      <c r="O10" s="12">
        <f t="shared" si="4"/>
        <v>26</v>
      </c>
      <c r="P10" s="12"/>
      <c r="Q10" s="12"/>
      <c r="R10" s="12">
        <f t="shared" si="5"/>
        <v>0</v>
      </c>
      <c r="S10" s="12">
        <f t="shared" ref="S10:T14" si="9">G10+J10+M10+P10</f>
        <v>0</v>
      </c>
      <c r="T10" s="12">
        <f t="shared" si="9"/>
        <v>26</v>
      </c>
      <c r="U10" s="12">
        <f t="shared" ref="U10:U14" si="10">S10+T10</f>
        <v>26</v>
      </c>
      <c r="V10" s="12">
        <v>23</v>
      </c>
      <c r="W10" s="62">
        <v>3</v>
      </c>
      <c r="X10" s="63">
        <v>9722.2199999999993</v>
      </c>
      <c r="Y10" s="63">
        <f t="shared" si="0"/>
        <v>777.77760000000001</v>
      </c>
      <c r="Z10" s="64">
        <f t="shared" si="1"/>
        <v>10499.997599999999</v>
      </c>
      <c r="AA10" s="52" t="s">
        <v>34</v>
      </c>
      <c r="AB10" s="51"/>
      <c r="AC10" s="51"/>
      <c r="AD10" s="51"/>
      <c r="AE10" s="57" t="e">
        <f>SUM(#REF!)</f>
        <v>#REF!</v>
      </c>
      <c r="AF10" s="2"/>
    </row>
    <row r="11" spans="1:32" ht="23">
      <c r="A11" s="2"/>
      <c r="B11" s="9">
        <v>7</v>
      </c>
      <c r="C11" s="10" t="s">
        <v>35</v>
      </c>
      <c r="D11" s="78" t="s">
        <v>36</v>
      </c>
      <c r="E11" s="10" t="s">
        <v>16</v>
      </c>
      <c r="F11" s="11" t="s">
        <v>26</v>
      </c>
      <c r="G11" s="12"/>
      <c r="H11" s="12">
        <v>11</v>
      </c>
      <c r="I11" s="12">
        <f t="shared" si="8"/>
        <v>11</v>
      </c>
      <c r="J11" s="12"/>
      <c r="K11" s="12"/>
      <c r="L11" s="12">
        <f t="shared" si="3"/>
        <v>0</v>
      </c>
      <c r="M11" s="12"/>
      <c r="N11" s="12"/>
      <c r="O11" s="12">
        <f t="shared" si="4"/>
        <v>0</v>
      </c>
      <c r="P11" s="12"/>
      <c r="Q11" s="12"/>
      <c r="R11" s="12">
        <f t="shared" si="5"/>
        <v>0</v>
      </c>
      <c r="S11" s="12">
        <f t="shared" si="9"/>
        <v>0</v>
      </c>
      <c r="T11" s="12">
        <f t="shared" si="9"/>
        <v>11</v>
      </c>
      <c r="U11" s="12">
        <f t="shared" si="10"/>
        <v>11</v>
      </c>
      <c r="V11" s="12">
        <v>11</v>
      </c>
      <c r="W11" s="62">
        <v>0</v>
      </c>
      <c r="X11" s="63">
        <v>19443.52</v>
      </c>
      <c r="Y11" s="63">
        <f t="shared" si="0"/>
        <v>1555.4816000000001</v>
      </c>
      <c r="Z11" s="64">
        <f t="shared" si="1"/>
        <v>20999.0016</v>
      </c>
      <c r="AA11" s="52"/>
      <c r="AB11" s="35" t="e">
        <f>AB10/AD10</f>
        <v>#DIV/0!</v>
      </c>
      <c r="AC11" s="35" t="e">
        <f>AC10/AD10</f>
        <v>#DIV/0!</v>
      </c>
      <c r="AD11" s="35" t="e">
        <f>SUM(AB11:AC11)</f>
        <v>#DIV/0!</v>
      </c>
      <c r="AE11" s="58"/>
      <c r="AF11" s="2"/>
    </row>
    <row r="12" spans="1:32" ht="23">
      <c r="A12" s="2"/>
      <c r="B12" s="9">
        <v>8</v>
      </c>
      <c r="C12" s="10" t="s">
        <v>37</v>
      </c>
      <c r="D12" s="78" t="s">
        <v>38</v>
      </c>
      <c r="E12" s="10" t="s">
        <v>16</v>
      </c>
      <c r="F12" s="11" t="s">
        <v>26</v>
      </c>
      <c r="G12" s="12"/>
      <c r="H12" s="12"/>
      <c r="I12" s="12">
        <f t="shared" si="8"/>
        <v>0</v>
      </c>
      <c r="J12" s="12"/>
      <c r="K12" s="12"/>
      <c r="L12" s="12">
        <f t="shared" si="3"/>
        <v>0</v>
      </c>
      <c r="M12" s="12"/>
      <c r="N12" s="12">
        <v>25</v>
      </c>
      <c r="O12" s="12">
        <f t="shared" si="4"/>
        <v>25</v>
      </c>
      <c r="P12" s="12"/>
      <c r="Q12" s="12"/>
      <c r="R12" s="12">
        <f t="shared" si="5"/>
        <v>0</v>
      </c>
      <c r="S12" s="12">
        <f t="shared" si="9"/>
        <v>0</v>
      </c>
      <c r="T12" s="12">
        <f t="shared" si="9"/>
        <v>25</v>
      </c>
      <c r="U12" s="12">
        <f t="shared" si="10"/>
        <v>25</v>
      </c>
      <c r="V12" s="12">
        <v>25</v>
      </c>
      <c r="W12" s="62">
        <v>0</v>
      </c>
      <c r="X12" s="63">
        <v>8000</v>
      </c>
      <c r="Y12" s="63">
        <f t="shared" si="0"/>
        <v>640</v>
      </c>
      <c r="Z12" s="64">
        <f t="shared" si="1"/>
        <v>8640</v>
      </c>
      <c r="AA12" s="52" t="s">
        <v>39</v>
      </c>
      <c r="AB12" s="51"/>
      <c r="AC12" s="51"/>
      <c r="AD12" s="51"/>
      <c r="AE12" s="57" t="e">
        <f>SUM(#REF!)</f>
        <v>#REF!</v>
      </c>
      <c r="AF12" s="2"/>
    </row>
    <row r="13" spans="1:32" ht="34.5">
      <c r="A13" s="2"/>
      <c r="B13" s="9">
        <v>9</v>
      </c>
      <c r="C13" s="10" t="s">
        <v>40</v>
      </c>
      <c r="D13" s="10" t="s">
        <v>41</v>
      </c>
      <c r="E13" s="10" t="s">
        <v>16</v>
      </c>
      <c r="F13" s="11" t="s">
        <v>26</v>
      </c>
      <c r="G13" s="12"/>
      <c r="H13" s="12"/>
      <c r="I13" s="12">
        <f t="shared" si="8"/>
        <v>0</v>
      </c>
      <c r="J13" s="12"/>
      <c r="K13" s="12"/>
      <c r="L13" s="12">
        <f t="shared" si="3"/>
        <v>0</v>
      </c>
      <c r="M13" s="12"/>
      <c r="N13" s="12"/>
      <c r="O13" s="12">
        <f t="shared" si="4"/>
        <v>0</v>
      </c>
      <c r="P13" s="12"/>
      <c r="Q13" s="12">
        <v>24</v>
      </c>
      <c r="R13" s="12">
        <f t="shared" si="5"/>
        <v>24</v>
      </c>
      <c r="S13" s="12">
        <f t="shared" si="9"/>
        <v>0</v>
      </c>
      <c r="T13" s="12">
        <f t="shared" si="9"/>
        <v>24</v>
      </c>
      <c r="U13" s="12">
        <f t="shared" si="10"/>
        <v>24</v>
      </c>
      <c r="V13" s="12">
        <v>23</v>
      </c>
      <c r="W13" s="62">
        <v>1</v>
      </c>
      <c r="X13" s="63">
        <v>19444.439999999999</v>
      </c>
      <c r="Y13" s="63">
        <f t="shared" si="0"/>
        <v>1555.5552</v>
      </c>
      <c r="Z13" s="64">
        <f t="shared" si="1"/>
        <v>20999.995199999998</v>
      </c>
      <c r="AA13" s="52"/>
      <c r="AB13" s="35" t="e">
        <f>AB12/AD12</f>
        <v>#DIV/0!</v>
      </c>
      <c r="AC13" s="35" t="e">
        <f>AC12/AD12</f>
        <v>#DIV/0!</v>
      </c>
      <c r="AD13" s="35" t="e">
        <f>SUM(AB13:AC13)</f>
        <v>#DIV/0!</v>
      </c>
      <c r="AE13" s="58"/>
      <c r="AF13" s="2"/>
    </row>
    <row r="14" spans="1:32" ht="23">
      <c r="A14" s="2"/>
      <c r="B14" s="9">
        <v>10</v>
      </c>
      <c r="C14" s="10">
        <v>46118</v>
      </c>
      <c r="D14" s="10" t="s">
        <v>42</v>
      </c>
      <c r="E14" s="10" t="s">
        <v>16</v>
      </c>
      <c r="F14" s="11" t="s">
        <v>23</v>
      </c>
      <c r="G14" s="12"/>
      <c r="H14" s="12"/>
      <c r="I14" s="12">
        <f t="shared" si="8"/>
        <v>0</v>
      </c>
      <c r="J14" s="12"/>
      <c r="K14" s="12"/>
      <c r="L14" s="12">
        <f t="shared" si="3"/>
        <v>0</v>
      </c>
      <c r="M14" s="12"/>
      <c r="N14" s="12"/>
      <c r="O14" s="12">
        <f t="shared" si="4"/>
        <v>0</v>
      </c>
      <c r="P14" s="12"/>
      <c r="Q14" s="12">
        <v>34</v>
      </c>
      <c r="R14" s="12">
        <f t="shared" si="5"/>
        <v>34</v>
      </c>
      <c r="S14" s="12">
        <f t="shared" si="9"/>
        <v>0</v>
      </c>
      <c r="T14" s="12">
        <f t="shared" si="9"/>
        <v>34</v>
      </c>
      <c r="U14" s="12">
        <f t="shared" si="10"/>
        <v>34</v>
      </c>
      <c r="V14" s="12">
        <v>33</v>
      </c>
      <c r="W14" s="62">
        <v>1</v>
      </c>
      <c r="X14" s="63">
        <v>1360</v>
      </c>
      <c r="Y14" s="63">
        <f>0.08*X14</f>
        <v>108.8</v>
      </c>
      <c r="Z14" s="64">
        <f>X14+Y14</f>
        <v>1468.8</v>
      </c>
      <c r="AA14" s="52" t="s">
        <v>43</v>
      </c>
      <c r="AB14" s="51">
        <f>V50</f>
        <v>2148</v>
      </c>
      <c r="AC14" s="51">
        <f>W50</f>
        <v>118</v>
      </c>
      <c r="AD14" s="51">
        <f>U50</f>
        <v>3561</v>
      </c>
      <c r="AE14" s="57" t="e">
        <f>#REF!</f>
        <v>#REF!</v>
      </c>
      <c r="AF14" s="2"/>
    </row>
    <row r="15" spans="1:32" ht="23">
      <c r="A15" s="2"/>
      <c r="B15" s="9">
        <v>11</v>
      </c>
      <c r="C15" s="10" t="s">
        <v>44</v>
      </c>
      <c r="D15" s="10" t="s">
        <v>45</v>
      </c>
      <c r="E15" s="10" t="s">
        <v>16</v>
      </c>
      <c r="F15" s="11" t="s">
        <v>46</v>
      </c>
      <c r="G15" s="12"/>
      <c r="H15" s="12"/>
      <c r="I15" s="12">
        <f t="shared" si="8"/>
        <v>0</v>
      </c>
      <c r="J15" s="12"/>
      <c r="K15" s="12"/>
      <c r="L15" s="12">
        <f t="shared" si="3"/>
        <v>0</v>
      </c>
      <c r="M15" s="12"/>
      <c r="N15" s="12">
        <v>20</v>
      </c>
      <c r="O15" s="12">
        <f t="shared" si="4"/>
        <v>20</v>
      </c>
      <c r="P15" s="12"/>
      <c r="Q15" s="12"/>
      <c r="R15" s="12">
        <f t="shared" si="5"/>
        <v>0</v>
      </c>
      <c r="S15" s="12">
        <f t="shared" si="6"/>
        <v>0</v>
      </c>
      <c r="T15" s="12">
        <f t="shared" si="6"/>
        <v>20</v>
      </c>
      <c r="U15" s="12">
        <f t="shared" si="7"/>
        <v>20</v>
      </c>
      <c r="V15" s="12">
        <v>20</v>
      </c>
      <c r="W15" s="62">
        <v>0</v>
      </c>
      <c r="X15" s="63">
        <v>24997.5</v>
      </c>
      <c r="Y15" s="63">
        <v>0</v>
      </c>
      <c r="Z15" s="64">
        <f t="shared" ref="Z15:Z44" si="11">X15+Y15</f>
        <v>24997.5</v>
      </c>
      <c r="AA15" s="52"/>
      <c r="AB15" s="35">
        <f>AB14/AD14</f>
        <v>0.60320134793597302</v>
      </c>
      <c r="AC15" s="35">
        <f>AC14/AD14</f>
        <v>3.3136759337264815E-2</v>
      </c>
      <c r="AD15" s="35">
        <f>SUM(AB15:AC15)</f>
        <v>0.63633810727323781</v>
      </c>
      <c r="AE15" s="58"/>
      <c r="AF15" s="2"/>
    </row>
    <row r="16" spans="1:32" ht="23">
      <c r="A16" s="2"/>
      <c r="B16" s="9">
        <v>12</v>
      </c>
      <c r="C16" s="10" t="s">
        <v>47</v>
      </c>
      <c r="D16" s="10" t="s">
        <v>48</v>
      </c>
      <c r="E16" s="10" t="s">
        <v>16</v>
      </c>
      <c r="F16" s="11" t="s">
        <v>49</v>
      </c>
      <c r="G16" s="12"/>
      <c r="H16" s="12"/>
      <c r="I16" s="12">
        <f t="shared" si="8"/>
        <v>0</v>
      </c>
      <c r="J16" s="12"/>
      <c r="K16" s="12"/>
      <c r="L16" s="12">
        <f t="shared" si="3"/>
        <v>0</v>
      </c>
      <c r="M16" s="12"/>
      <c r="N16" s="12">
        <v>10</v>
      </c>
      <c r="O16" s="12">
        <f t="shared" si="4"/>
        <v>10</v>
      </c>
      <c r="P16" s="12"/>
      <c r="Q16" s="12"/>
      <c r="R16" s="12">
        <f t="shared" si="5"/>
        <v>0</v>
      </c>
      <c r="S16" s="12">
        <f t="shared" si="6"/>
        <v>0</v>
      </c>
      <c r="T16" s="12">
        <f t="shared" si="6"/>
        <v>10</v>
      </c>
      <c r="U16" s="12">
        <f t="shared" si="7"/>
        <v>10</v>
      </c>
      <c r="V16" s="12">
        <v>10</v>
      </c>
      <c r="W16" s="62">
        <v>0</v>
      </c>
      <c r="X16" s="63"/>
      <c r="Y16" s="63">
        <f t="shared" si="0"/>
        <v>0</v>
      </c>
      <c r="Z16" s="64">
        <f t="shared" si="11"/>
        <v>0</v>
      </c>
      <c r="AA16" s="2"/>
      <c r="AB16" s="2"/>
      <c r="AC16" s="2"/>
      <c r="AD16" s="2"/>
      <c r="AE16" s="2"/>
      <c r="AF16" s="2"/>
    </row>
    <row r="17" spans="1:32" ht="34.5">
      <c r="A17" s="2"/>
      <c r="B17" s="9">
        <v>13</v>
      </c>
      <c r="C17" s="10" t="s">
        <v>50</v>
      </c>
      <c r="D17" s="10" t="s">
        <v>51</v>
      </c>
      <c r="E17" s="10" t="s">
        <v>16</v>
      </c>
      <c r="F17" s="11" t="s">
        <v>26</v>
      </c>
      <c r="G17" s="12"/>
      <c r="H17" s="12"/>
      <c r="I17" s="12">
        <f t="shared" si="8"/>
        <v>0</v>
      </c>
      <c r="J17" s="12"/>
      <c r="K17" s="12"/>
      <c r="L17" s="12">
        <f t="shared" si="3"/>
        <v>0</v>
      </c>
      <c r="M17" s="12"/>
      <c r="N17" s="12">
        <v>25</v>
      </c>
      <c r="O17" s="12">
        <f t="shared" si="4"/>
        <v>25</v>
      </c>
      <c r="P17" s="12"/>
      <c r="Q17" s="12"/>
      <c r="R17" s="12">
        <f t="shared" si="5"/>
        <v>0</v>
      </c>
      <c r="S17" s="12">
        <f t="shared" si="6"/>
        <v>0</v>
      </c>
      <c r="T17" s="12">
        <f t="shared" si="6"/>
        <v>25</v>
      </c>
      <c r="U17" s="12">
        <f t="shared" si="7"/>
        <v>25</v>
      </c>
      <c r="V17" s="12">
        <v>0</v>
      </c>
      <c r="W17" s="62">
        <v>25</v>
      </c>
      <c r="X17" s="63"/>
      <c r="Y17" s="63">
        <f t="shared" si="0"/>
        <v>0</v>
      </c>
      <c r="Z17" s="64">
        <f t="shared" si="11"/>
        <v>0</v>
      </c>
      <c r="AA17" s="2"/>
      <c r="AB17" s="2"/>
      <c r="AC17" s="2"/>
      <c r="AD17" s="2"/>
      <c r="AE17" s="2"/>
      <c r="AF17" s="2"/>
    </row>
    <row r="18" spans="1:32" ht="34.5">
      <c r="A18" s="2"/>
      <c r="B18" s="9">
        <v>14</v>
      </c>
      <c r="C18" s="10">
        <v>46140</v>
      </c>
      <c r="D18" s="10" t="s">
        <v>52</v>
      </c>
      <c r="E18" s="10" t="s">
        <v>16</v>
      </c>
      <c r="F18" s="11" t="s">
        <v>53</v>
      </c>
      <c r="G18" s="12"/>
      <c r="H18" s="12"/>
      <c r="I18" s="12">
        <f t="shared" si="8"/>
        <v>0</v>
      </c>
      <c r="J18" s="12"/>
      <c r="K18" s="12"/>
      <c r="L18" s="12">
        <f t="shared" si="3"/>
        <v>0</v>
      </c>
      <c r="M18" s="12"/>
      <c r="N18" s="12">
        <v>61</v>
      </c>
      <c r="O18" s="12">
        <f t="shared" si="4"/>
        <v>61</v>
      </c>
      <c r="P18" s="12"/>
      <c r="Q18" s="12"/>
      <c r="R18" s="12">
        <f t="shared" si="5"/>
        <v>0</v>
      </c>
      <c r="S18" s="12">
        <f t="shared" si="6"/>
        <v>0</v>
      </c>
      <c r="T18" s="12">
        <f t="shared" si="6"/>
        <v>61</v>
      </c>
      <c r="U18" s="12">
        <f t="shared" si="7"/>
        <v>61</v>
      </c>
      <c r="V18" s="12">
        <v>61</v>
      </c>
      <c r="W18" s="62">
        <v>0</v>
      </c>
      <c r="X18" s="63"/>
      <c r="Y18" s="63">
        <f t="shared" si="0"/>
        <v>0</v>
      </c>
      <c r="Z18" s="64">
        <f t="shared" si="11"/>
        <v>0</v>
      </c>
      <c r="AA18" s="2"/>
      <c r="AB18" s="2"/>
      <c r="AC18" s="2"/>
      <c r="AD18" s="2"/>
      <c r="AE18" s="2"/>
      <c r="AF18" s="2"/>
    </row>
    <row r="19" spans="1:32" ht="23">
      <c r="A19" s="2"/>
      <c r="B19" s="9">
        <v>15</v>
      </c>
      <c r="C19" s="10">
        <v>46141</v>
      </c>
      <c r="D19" s="10" t="s">
        <v>54</v>
      </c>
      <c r="E19" s="10" t="s">
        <v>16</v>
      </c>
      <c r="F19" s="11" t="s">
        <v>23</v>
      </c>
      <c r="G19" s="12"/>
      <c r="H19" s="12"/>
      <c r="I19" s="12">
        <f t="shared" si="8"/>
        <v>0</v>
      </c>
      <c r="J19" s="12"/>
      <c r="K19" s="12"/>
      <c r="L19" s="12">
        <f t="shared" si="3"/>
        <v>0</v>
      </c>
      <c r="M19" s="12"/>
      <c r="N19" s="12"/>
      <c r="O19" s="12">
        <f t="shared" si="4"/>
        <v>0</v>
      </c>
      <c r="P19" s="12"/>
      <c r="Q19" s="12">
        <v>31</v>
      </c>
      <c r="R19" s="12">
        <f t="shared" si="5"/>
        <v>31</v>
      </c>
      <c r="S19" s="12">
        <f t="shared" si="6"/>
        <v>0</v>
      </c>
      <c r="T19" s="12">
        <f t="shared" si="6"/>
        <v>31</v>
      </c>
      <c r="U19" s="12">
        <f t="shared" si="7"/>
        <v>31</v>
      </c>
      <c r="V19" s="12">
        <v>27</v>
      </c>
      <c r="W19" s="62">
        <v>4</v>
      </c>
      <c r="X19" s="63">
        <v>1085</v>
      </c>
      <c r="Y19" s="63">
        <v>0</v>
      </c>
      <c r="Z19" s="64">
        <f t="shared" si="11"/>
        <v>1085</v>
      </c>
      <c r="AA19" s="52"/>
      <c r="AB19" s="59"/>
      <c r="AC19" s="59"/>
      <c r="AD19" s="59"/>
      <c r="AE19" s="58"/>
      <c r="AF19" s="2"/>
    </row>
    <row r="20" spans="1:32" ht="17.5">
      <c r="A20" s="2"/>
      <c r="B20" s="9">
        <v>16</v>
      </c>
      <c r="C20" s="10">
        <v>46148</v>
      </c>
      <c r="D20" s="10" t="s">
        <v>55</v>
      </c>
      <c r="E20" s="10" t="s">
        <v>16</v>
      </c>
      <c r="F20" s="11" t="s">
        <v>23</v>
      </c>
      <c r="G20" s="12"/>
      <c r="H20" s="12"/>
      <c r="I20" s="12">
        <f t="shared" si="8"/>
        <v>0</v>
      </c>
      <c r="J20" s="12"/>
      <c r="K20" s="12"/>
      <c r="L20" s="12">
        <f t="shared" si="3"/>
        <v>0</v>
      </c>
      <c r="M20" s="12"/>
      <c r="N20" s="12">
        <v>35</v>
      </c>
      <c r="O20" s="12">
        <f t="shared" si="4"/>
        <v>35</v>
      </c>
      <c r="P20" s="12"/>
      <c r="Q20" s="12"/>
      <c r="R20" s="12">
        <f t="shared" si="5"/>
        <v>0</v>
      </c>
      <c r="S20" s="12">
        <f t="shared" si="6"/>
        <v>0</v>
      </c>
      <c r="T20" s="12">
        <f t="shared" si="6"/>
        <v>35</v>
      </c>
      <c r="U20" s="12">
        <f t="shared" si="7"/>
        <v>35</v>
      </c>
      <c r="V20" s="12">
        <v>30</v>
      </c>
      <c r="W20" s="62">
        <v>5</v>
      </c>
      <c r="X20" s="63"/>
      <c r="Y20" s="63">
        <v>0</v>
      </c>
      <c r="Z20" s="64">
        <f t="shared" si="11"/>
        <v>0</v>
      </c>
      <c r="AA20" s="52"/>
      <c r="AB20" s="59"/>
      <c r="AC20" s="59"/>
      <c r="AD20" s="59"/>
      <c r="AE20" s="58"/>
      <c r="AF20" s="2"/>
    </row>
    <row r="21" spans="1:32" ht="17.5">
      <c r="A21" s="2"/>
      <c r="B21" s="9">
        <v>17</v>
      </c>
      <c r="C21" s="10">
        <v>46162</v>
      </c>
      <c r="D21" s="10" t="s">
        <v>56</v>
      </c>
      <c r="E21" s="10" t="s">
        <v>16</v>
      </c>
      <c r="F21" s="11" t="s">
        <v>57</v>
      </c>
      <c r="G21" s="12"/>
      <c r="H21" s="12"/>
      <c r="I21" s="12"/>
      <c r="J21" s="12"/>
      <c r="K21" s="12"/>
      <c r="L21" s="12"/>
      <c r="M21" s="12"/>
      <c r="N21" s="12">
        <v>138</v>
      </c>
      <c r="O21" s="12">
        <f>N21</f>
        <v>138</v>
      </c>
      <c r="P21" s="12"/>
      <c r="Q21" s="12"/>
      <c r="R21" s="12"/>
      <c r="S21" s="12"/>
      <c r="T21" s="12"/>
      <c r="U21" s="12"/>
      <c r="V21" s="12"/>
      <c r="W21" s="62"/>
      <c r="X21" s="63"/>
      <c r="Y21" s="63"/>
      <c r="Z21" s="64"/>
      <c r="AA21" s="52"/>
      <c r="AB21" s="59"/>
      <c r="AC21" s="59"/>
      <c r="AD21" s="59"/>
      <c r="AE21" s="58"/>
      <c r="AF21" s="2"/>
    </row>
    <row r="22" spans="1:32" ht="23">
      <c r="A22" s="2"/>
      <c r="B22" s="9">
        <v>18</v>
      </c>
      <c r="C22" s="10" t="s">
        <v>58</v>
      </c>
      <c r="D22" s="10" t="s">
        <v>59</v>
      </c>
      <c r="E22" s="10" t="s">
        <v>16</v>
      </c>
      <c r="F22" s="11" t="s">
        <v>49</v>
      </c>
      <c r="G22" s="12"/>
      <c r="H22" s="12"/>
      <c r="I22" s="12">
        <f>G22+H22</f>
        <v>0</v>
      </c>
      <c r="J22" s="12"/>
      <c r="K22" s="12"/>
      <c r="L22" s="12">
        <f>J22+K22</f>
        <v>0</v>
      </c>
      <c r="M22" s="12"/>
      <c r="N22" s="12">
        <v>10</v>
      </c>
      <c r="O22" s="12">
        <f>M22+N22</f>
        <v>10</v>
      </c>
      <c r="P22" s="12"/>
      <c r="Q22" s="12"/>
      <c r="R22" s="12">
        <f>P22+Q22</f>
        <v>0</v>
      </c>
      <c r="S22" s="12">
        <f t="shared" ref="S22:T24" si="12">G22+J22+M22+P22</f>
        <v>0</v>
      </c>
      <c r="T22" s="12">
        <f t="shared" si="12"/>
        <v>10</v>
      </c>
      <c r="U22" s="12">
        <f>S22+T22</f>
        <v>10</v>
      </c>
      <c r="V22" s="12">
        <v>8</v>
      </c>
      <c r="W22" s="62">
        <v>2</v>
      </c>
      <c r="X22" s="63">
        <v>49987.8</v>
      </c>
      <c r="Y22" s="63">
        <v>0</v>
      </c>
      <c r="Z22" s="64">
        <f t="shared" si="11"/>
        <v>49987.8</v>
      </c>
      <c r="AA22" s="52"/>
      <c r="AB22" s="59"/>
      <c r="AC22" s="59"/>
      <c r="AD22" s="59"/>
      <c r="AE22" s="58"/>
      <c r="AF22" s="2"/>
    </row>
    <row r="23" spans="1:32" ht="23">
      <c r="A23" s="2"/>
      <c r="B23" s="9">
        <v>19</v>
      </c>
      <c r="C23" s="10" t="s">
        <v>60</v>
      </c>
      <c r="D23" s="10" t="s">
        <v>61</v>
      </c>
      <c r="E23" s="10" t="s">
        <v>16</v>
      </c>
      <c r="F23" s="11" t="s">
        <v>26</v>
      </c>
      <c r="G23" s="12"/>
      <c r="H23" s="12"/>
      <c r="I23" s="12">
        <f>G23+H23</f>
        <v>0</v>
      </c>
      <c r="J23" s="12"/>
      <c r="K23" s="12"/>
      <c r="L23" s="12">
        <f>J23+K23</f>
        <v>0</v>
      </c>
      <c r="M23" s="12"/>
      <c r="N23" s="12">
        <v>25</v>
      </c>
      <c r="O23" s="12">
        <f>M23+N23</f>
        <v>25</v>
      </c>
      <c r="P23" s="79"/>
      <c r="Q23" s="79"/>
      <c r="R23" s="79">
        <f>P23+Q23</f>
        <v>0</v>
      </c>
      <c r="S23" s="79">
        <f t="shared" si="12"/>
        <v>0</v>
      </c>
      <c r="T23" s="79">
        <f t="shared" si="12"/>
        <v>25</v>
      </c>
      <c r="U23" s="79">
        <f>S23+T23</f>
        <v>25</v>
      </c>
      <c r="V23" s="79">
        <v>25</v>
      </c>
      <c r="W23" s="67">
        <v>0</v>
      </c>
      <c r="X23" s="63">
        <v>19444.439999999999</v>
      </c>
      <c r="Y23" s="63">
        <f t="shared" si="0"/>
        <v>1555.5552</v>
      </c>
      <c r="Z23" s="64">
        <f t="shared" si="11"/>
        <v>20999.995199999998</v>
      </c>
      <c r="AA23" s="52"/>
      <c r="AB23" s="59"/>
      <c r="AC23" s="59"/>
      <c r="AD23" s="59"/>
      <c r="AE23" s="58"/>
      <c r="AF23" s="2"/>
    </row>
    <row r="24" spans="1:32" ht="23">
      <c r="A24" s="2"/>
      <c r="B24" s="9">
        <v>20</v>
      </c>
      <c r="C24" s="10" t="s">
        <v>62</v>
      </c>
      <c r="D24" s="10" t="s">
        <v>63</v>
      </c>
      <c r="E24" s="10" t="s">
        <v>16</v>
      </c>
      <c r="F24" s="11" t="s">
        <v>26</v>
      </c>
      <c r="G24" s="79"/>
      <c r="H24" s="79"/>
      <c r="I24" s="79">
        <f>G24+H24</f>
        <v>0</v>
      </c>
      <c r="J24" s="79"/>
      <c r="K24" s="79"/>
      <c r="L24" s="79">
        <f>J24+K24</f>
        <v>0</v>
      </c>
      <c r="M24" s="79"/>
      <c r="N24" s="79">
        <v>26</v>
      </c>
      <c r="O24" s="67">
        <f>M24+N24</f>
        <v>26</v>
      </c>
      <c r="P24" s="70"/>
      <c r="Q24" s="70"/>
      <c r="R24" s="70">
        <f>P24+Q24</f>
        <v>0</v>
      </c>
      <c r="S24" s="70">
        <f t="shared" si="12"/>
        <v>0</v>
      </c>
      <c r="T24" s="66">
        <f t="shared" si="12"/>
        <v>26</v>
      </c>
      <c r="U24" s="66">
        <f>S24+T24</f>
        <v>26</v>
      </c>
      <c r="V24" s="66">
        <v>26</v>
      </c>
      <c r="W24" s="66">
        <v>0</v>
      </c>
      <c r="X24" s="80"/>
      <c r="Y24" s="68">
        <f t="shared" si="0"/>
        <v>0</v>
      </c>
      <c r="Z24" s="69">
        <f t="shared" si="11"/>
        <v>0</v>
      </c>
      <c r="AA24" s="52"/>
      <c r="AB24" s="59"/>
      <c r="AC24" s="59"/>
      <c r="AD24" s="59"/>
      <c r="AE24" s="58"/>
      <c r="AF24" s="2"/>
    </row>
    <row r="25" spans="1:32" ht="23">
      <c r="A25" s="2"/>
      <c r="B25" s="9">
        <v>21</v>
      </c>
      <c r="C25" s="10" t="s">
        <v>64</v>
      </c>
      <c r="D25" s="10" t="s">
        <v>65</v>
      </c>
      <c r="E25" s="10" t="s">
        <v>16</v>
      </c>
      <c r="F25" s="81" t="s">
        <v>49</v>
      </c>
      <c r="G25" s="66"/>
      <c r="H25" s="66"/>
      <c r="I25" s="66">
        <f t="shared" si="8"/>
        <v>0</v>
      </c>
      <c r="J25" s="66"/>
      <c r="K25" s="66"/>
      <c r="L25" s="66">
        <f t="shared" si="3"/>
        <v>0</v>
      </c>
      <c r="M25" s="66"/>
      <c r="N25" s="66"/>
      <c r="O25" s="66">
        <f t="shared" si="4"/>
        <v>0</v>
      </c>
      <c r="P25" s="66"/>
      <c r="Q25" s="66">
        <v>12</v>
      </c>
      <c r="R25" s="66">
        <f t="shared" si="5"/>
        <v>12</v>
      </c>
      <c r="S25" s="66">
        <f t="shared" ref="S25:T41" si="13">G25+J25+M25+P25</f>
        <v>0</v>
      </c>
      <c r="T25" s="82">
        <f t="shared" si="13"/>
        <v>12</v>
      </c>
      <c r="U25" s="66">
        <f t="shared" si="7"/>
        <v>12</v>
      </c>
      <c r="V25" s="66">
        <v>12</v>
      </c>
      <c r="W25" s="66">
        <v>0</v>
      </c>
      <c r="X25" s="83">
        <v>59000</v>
      </c>
      <c r="Y25" s="63">
        <f t="shared" si="0"/>
        <v>4720</v>
      </c>
      <c r="Z25" s="64">
        <f t="shared" si="11"/>
        <v>63720</v>
      </c>
      <c r="AA25" s="52"/>
      <c r="AB25" s="53"/>
      <c r="AC25" s="53"/>
      <c r="AD25" s="53"/>
      <c r="AE25" s="58"/>
      <c r="AF25" s="2"/>
    </row>
    <row r="26" spans="1:32" ht="23">
      <c r="A26" s="2"/>
      <c r="B26" s="9">
        <v>22</v>
      </c>
      <c r="C26" s="10" t="s">
        <v>66</v>
      </c>
      <c r="D26" s="10" t="s">
        <v>67</v>
      </c>
      <c r="E26" s="10" t="s">
        <v>16</v>
      </c>
      <c r="F26" s="81" t="s">
        <v>46</v>
      </c>
      <c r="G26" s="66"/>
      <c r="H26" s="66"/>
      <c r="I26" s="66">
        <f t="shared" si="8"/>
        <v>0</v>
      </c>
      <c r="J26" s="66"/>
      <c r="K26" s="66"/>
      <c r="L26" s="66">
        <f t="shared" si="3"/>
        <v>0</v>
      </c>
      <c r="M26" s="66"/>
      <c r="N26" s="66">
        <v>9</v>
      </c>
      <c r="O26" s="66">
        <f t="shared" si="4"/>
        <v>9</v>
      </c>
      <c r="P26" s="66"/>
      <c r="Q26" s="66"/>
      <c r="R26" s="66">
        <f t="shared" si="5"/>
        <v>0</v>
      </c>
      <c r="S26" s="66">
        <f t="shared" si="13"/>
        <v>0</v>
      </c>
      <c r="T26" s="82">
        <f t="shared" si="13"/>
        <v>9</v>
      </c>
      <c r="U26" s="66">
        <f t="shared" si="7"/>
        <v>9</v>
      </c>
      <c r="V26" s="66">
        <v>9</v>
      </c>
      <c r="W26" s="66">
        <v>0</v>
      </c>
      <c r="X26" s="83">
        <v>5000</v>
      </c>
      <c r="Y26" s="63">
        <v>0</v>
      </c>
      <c r="Z26" s="64">
        <f t="shared" si="11"/>
        <v>5000</v>
      </c>
      <c r="AA26" s="52"/>
      <c r="AB26" s="53"/>
      <c r="AC26" s="53"/>
      <c r="AD26" s="53"/>
      <c r="AE26" s="58"/>
      <c r="AF26" s="2"/>
    </row>
    <row r="27" spans="1:32" ht="23">
      <c r="A27" s="2"/>
      <c r="B27" s="9">
        <v>23</v>
      </c>
      <c r="C27" s="10">
        <v>46162</v>
      </c>
      <c r="D27" s="10" t="s">
        <v>68</v>
      </c>
      <c r="E27" s="10" t="s">
        <v>16</v>
      </c>
      <c r="F27" s="81" t="s">
        <v>23</v>
      </c>
      <c r="G27" s="66"/>
      <c r="H27" s="66">
        <v>21</v>
      </c>
      <c r="I27" s="66">
        <f t="shared" si="8"/>
        <v>21</v>
      </c>
      <c r="J27" s="66"/>
      <c r="K27" s="66"/>
      <c r="L27" s="66">
        <f t="shared" si="3"/>
        <v>0</v>
      </c>
      <c r="M27" s="66"/>
      <c r="N27" s="66"/>
      <c r="O27" s="66">
        <f t="shared" si="4"/>
        <v>0</v>
      </c>
      <c r="P27" s="66"/>
      <c r="Q27" s="66"/>
      <c r="R27" s="66">
        <f t="shared" si="5"/>
        <v>0</v>
      </c>
      <c r="S27" s="66">
        <f t="shared" si="13"/>
        <v>0</v>
      </c>
      <c r="T27" s="82">
        <f t="shared" si="13"/>
        <v>21</v>
      </c>
      <c r="U27" s="66">
        <f t="shared" si="7"/>
        <v>21</v>
      </c>
      <c r="V27" s="66">
        <v>21</v>
      </c>
      <c r="W27" s="66">
        <v>0</v>
      </c>
      <c r="X27" s="83">
        <f>70*21</f>
        <v>1470</v>
      </c>
      <c r="Y27" s="63">
        <f t="shared" ref="Y27:Y44" si="14">0.08*X27</f>
        <v>117.60000000000001</v>
      </c>
      <c r="Z27" s="64">
        <f t="shared" si="11"/>
        <v>1587.6</v>
      </c>
      <c r="AA27" s="2"/>
      <c r="AB27" s="2"/>
      <c r="AC27" s="2"/>
      <c r="AD27" s="2"/>
      <c r="AE27" s="2"/>
      <c r="AF27" s="2"/>
    </row>
    <row r="28" spans="1:32" ht="23">
      <c r="A28" s="2"/>
      <c r="B28" s="9">
        <v>24</v>
      </c>
      <c r="C28" s="84">
        <v>46176</v>
      </c>
      <c r="D28" s="84" t="s">
        <v>69</v>
      </c>
      <c r="E28" s="84" t="s">
        <v>16</v>
      </c>
      <c r="F28" s="85" t="s">
        <v>23</v>
      </c>
      <c r="G28" s="66"/>
      <c r="H28" s="66">
        <v>21</v>
      </c>
      <c r="I28" s="66">
        <f t="shared" si="8"/>
        <v>21</v>
      </c>
      <c r="J28" s="66"/>
      <c r="K28" s="66"/>
      <c r="L28" s="66">
        <f t="shared" si="3"/>
        <v>0</v>
      </c>
      <c r="M28" s="66"/>
      <c r="N28" s="66"/>
      <c r="O28" s="66">
        <f t="shared" si="4"/>
        <v>0</v>
      </c>
      <c r="P28" s="66"/>
      <c r="Q28" s="66"/>
      <c r="R28" s="66">
        <f t="shared" si="5"/>
        <v>0</v>
      </c>
      <c r="S28" s="66">
        <f t="shared" si="13"/>
        <v>0</v>
      </c>
      <c r="T28" s="73">
        <f t="shared" si="13"/>
        <v>21</v>
      </c>
      <c r="U28" s="70">
        <f t="shared" si="7"/>
        <v>21</v>
      </c>
      <c r="V28" s="70">
        <v>20</v>
      </c>
      <c r="W28" s="70">
        <v>1</v>
      </c>
      <c r="X28" s="86">
        <f>70*21</f>
        <v>1470</v>
      </c>
      <c r="Y28" s="87">
        <f t="shared" si="14"/>
        <v>117.60000000000001</v>
      </c>
      <c r="Z28" s="88">
        <f t="shared" si="11"/>
        <v>1587.6</v>
      </c>
      <c r="AA28" s="2"/>
      <c r="AB28" s="2"/>
      <c r="AC28" s="2"/>
      <c r="AD28" s="2"/>
      <c r="AE28" s="2"/>
      <c r="AF28" s="2"/>
    </row>
    <row r="29" spans="1:32" ht="34.5">
      <c r="A29" s="2"/>
      <c r="B29" s="9">
        <v>25</v>
      </c>
      <c r="C29" s="71" t="s">
        <v>70</v>
      </c>
      <c r="D29" s="71" t="s">
        <v>71</v>
      </c>
      <c r="E29" s="71" t="s">
        <v>16</v>
      </c>
      <c r="F29" s="72" t="s">
        <v>26</v>
      </c>
      <c r="G29" s="89"/>
      <c r="H29" s="89"/>
      <c r="I29" s="66">
        <f t="shared" si="8"/>
        <v>0</v>
      </c>
      <c r="J29" s="89"/>
      <c r="K29" s="89"/>
      <c r="L29" s="66">
        <f t="shared" si="3"/>
        <v>0</v>
      </c>
      <c r="M29" s="89"/>
      <c r="N29" s="89">
        <v>15</v>
      </c>
      <c r="O29" s="66">
        <f t="shared" si="4"/>
        <v>15</v>
      </c>
      <c r="P29" s="89"/>
      <c r="Q29" s="89"/>
      <c r="R29" s="66">
        <f t="shared" si="5"/>
        <v>0</v>
      </c>
      <c r="S29" s="66">
        <f t="shared" si="13"/>
        <v>0</v>
      </c>
      <c r="T29" s="73">
        <f t="shared" si="13"/>
        <v>15</v>
      </c>
      <c r="U29" s="70">
        <f t="shared" si="7"/>
        <v>15</v>
      </c>
      <c r="V29" s="66">
        <v>13</v>
      </c>
      <c r="W29" s="66">
        <v>2</v>
      </c>
      <c r="X29" s="63">
        <v>19444.439999999999</v>
      </c>
      <c r="Y29" s="63">
        <f t="shared" si="14"/>
        <v>1555.5552</v>
      </c>
      <c r="Z29" s="64">
        <f t="shared" si="11"/>
        <v>20999.995199999998</v>
      </c>
      <c r="AA29" s="2"/>
      <c r="AB29" s="2"/>
      <c r="AC29" s="2"/>
      <c r="AD29" s="2"/>
      <c r="AE29" s="2"/>
      <c r="AF29" s="2"/>
    </row>
    <row r="30" spans="1:32" ht="23">
      <c r="A30" s="2"/>
      <c r="B30" s="9">
        <v>26</v>
      </c>
      <c r="C30" s="71" t="s">
        <v>72</v>
      </c>
      <c r="D30" s="71" t="s">
        <v>73</v>
      </c>
      <c r="E30" s="71" t="s">
        <v>16</v>
      </c>
      <c r="F30" s="72" t="s">
        <v>26</v>
      </c>
      <c r="G30" s="66"/>
      <c r="H30" s="66"/>
      <c r="I30" s="66">
        <f t="shared" si="8"/>
        <v>0</v>
      </c>
      <c r="J30" s="66"/>
      <c r="K30" s="66"/>
      <c r="L30" s="66">
        <f t="shared" si="3"/>
        <v>0</v>
      </c>
      <c r="M30" s="66"/>
      <c r="N30" s="66">
        <v>26</v>
      </c>
      <c r="O30" s="66">
        <f t="shared" si="4"/>
        <v>26</v>
      </c>
      <c r="P30" s="66"/>
      <c r="Q30" s="66"/>
      <c r="R30" s="66">
        <f t="shared" si="5"/>
        <v>0</v>
      </c>
      <c r="S30" s="66">
        <f t="shared" si="13"/>
        <v>0</v>
      </c>
      <c r="T30" s="73">
        <f t="shared" si="13"/>
        <v>26</v>
      </c>
      <c r="U30" s="70">
        <f t="shared" si="7"/>
        <v>26</v>
      </c>
      <c r="V30" s="66">
        <v>26</v>
      </c>
      <c r="W30" s="66">
        <v>0</v>
      </c>
      <c r="X30" s="63"/>
      <c r="Y30" s="63">
        <f t="shared" si="14"/>
        <v>0</v>
      </c>
      <c r="Z30" s="64">
        <f t="shared" si="11"/>
        <v>0</v>
      </c>
      <c r="AA30" s="2"/>
      <c r="AB30" s="2"/>
      <c r="AC30" s="2"/>
      <c r="AD30" s="2"/>
      <c r="AE30" s="2"/>
      <c r="AF30" s="2"/>
    </row>
    <row r="31" spans="1:32" ht="23">
      <c r="A31" s="2"/>
      <c r="B31" s="9">
        <v>27</v>
      </c>
      <c r="C31" s="71" t="s">
        <v>74</v>
      </c>
      <c r="D31" s="71" t="s">
        <v>75</v>
      </c>
      <c r="E31" s="71" t="s">
        <v>16</v>
      </c>
      <c r="F31" s="72" t="s">
        <v>76</v>
      </c>
      <c r="G31" s="66"/>
      <c r="H31" s="66">
        <v>22</v>
      </c>
      <c r="I31" s="66">
        <f t="shared" si="8"/>
        <v>22</v>
      </c>
      <c r="J31" s="66"/>
      <c r="K31" s="66"/>
      <c r="L31" s="66">
        <f t="shared" si="3"/>
        <v>0</v>
      </c>
      <c r="M31" s="66"/>
      <c r="N31" s="66"/>
      <c r="O31" s="66">
        <f t="shared" si="4"/>
        <v>0</v>
      </c>
      <c r="P31" s="66"/>
      <c r="Q31" s="66"/>
      <c r="R31" s="66">
        <f t="shared" si="5"/>
        <v>0</v>
      </c>
      <c r="S31" s="66">
        <f t="shared" si="13"/>
        <v>0</v>
      </c>
      <c r="T31" s="73">
        <f t="shared" si="13"/>
        <v>22</v>
      </c>
      <c r="U31" s="70">
        <f t="shared" si="7"/>
        <v>22</v>
      </c>
      <c r="V31" s="66">
        <v>22</v>
      </c>
      <c r="W31" s="66">
        <v>0</v>
      </c>
      <c r="X31" s="63">
        <v>445500</v>
      </c>
      <c r="Y31" s="63">
        <f t="shared" si="14"/>
        <v>35640</v>
      </c>
      <c r="Z31" s="64">
        <f t="shared" si="11"/>
        <v>481140</v>
      </c>
      <c r="AA31" s="2"/>
      <c r="AB31" s="2"/>
      <c r="AC31" s="2"/>
      <c r="AD31" s="2"/>
      <c r="AE31" s="2"/>
      <c r="AF31" s="2"/>
    </row>
    <row r="32" spans="1:32" ht="23">
      <c r="A32" s="2"/>
      <c r="B32" s="9">
        <v>28</v>
      </c>
      <c r="C32" s="71" t="s">
        <v>77</v>
      </c>
      <c r="D32" s="71" t="s">
        <v>78</v>
      </c>
      <c r="E32" s="71" t="s">
        <v>16</v>
      </c>
      <c r="F32" s="72" t="s">
        <v>26</v>
      </c>
      <c r="G32" s="66"/>
      <c r="H32" s="66"/>
      <c r="I32" s="66">
        <f t="shared" si="8"/>
        <v>0</v>
      </c>
      <c r="J32" s="66"/>
      <c r="K32" s="66"/>
      <c r="L32" s="66">
        <f t="shared" si="3"/>
        <v>0</v>
      </c>
      <c r="M32" s="66"/>
      <c r="N32" s="66">
        <v>25</v>
      </c>
      <c r="O32" s="66">
        <f t="shared" si="4"/>
        <v>25</v>
      </c>
      <c r="P32" s="66"/>
      <c r="Q32" s="66"/>
      <c r="R32" s="66">
        <f t="shared" si="5"/>
        <v>0</v>
      </c>
      <c r="S32" s="66">
        <f t="shared" si="13"/>
        <v>0</v>
      </c>
      <c r="T32" s="73">
        <f t="shared" si="13"/>
        <v>25</v>
      </c>
      <c r="U32" s="70">
        <f t="shared" si="7"/>
        <v>25</v>
      </c>
      <c r="V32" s="66">
        <v>25</v>
      </c>
      <c r="W32" s="66">
        <v>0</v>
      </c>
      <c r="X32" s="63"/>
      <c r="Y32" s="63">
        <f t="shared" si="14"/>
        <v>0</v>
      </c>
      <c r="Z32" s="69">
        <f t="shared" si="11"/>
        <v>0</v>
      </c>
      <c r="AA32" s="2"/>
      <c r="AB32" s="2"/>
      <c r="AC32" s="2"/>
      <c r="AD32" s="2"/>
      <c r="AE32" s="2"/>
      <c r="AF32" s="2"/>
    </row>
    <row r="33" spans="1:32" ht="23">
      <c r="A33" s="2"/>
      <c r="B33" s="9">
        <v>29</v>
      </c>
      <c r="C33" s="98" t="s">
        <v>79</v>
      </c>
      <c r="D33" s="74" t="s">
        <v>80</v>
      </c>
      <c r="E33" s="98" t="s">
        <v>16</v>
      </c>
      <c r="F33" s="101" t="s">
        <v>26</v>
      </c>
      <c r="G33" s="102"/>
      <c r="H33" s="12"/>
      <c r="I33" s="66">
        <f t="shared" si="8"/>
        <v>0</v>
      </c>
      <c r="J33" s="12"/>
      <c r="K33" s="12"/>
      <c r="L33" s="66">
        <f t="shared" si="3"/>
        <v>0</v>
      </c>
      <c r="M33" s="12"/>
      <c r="N33" s="12">
        <v>12</v>
      </c>
      <c r="O33" s="66">
        <f t="shared" si="4"/>
        <v>12</v>
      </c>
      <c r="P33" s="12"/>
      <c r="Q33" s="12"/>
      <c r="R33" s="66">
        <f t="shared" si="5"/>
        <v>0</v>
      </c>
      <c r="S33" s="66">
        <f t="shared" si="13"/>
        <v>0</v>
      </c>
      <c r="T33" s="73">
        <f t="shared" si="13"/>
        <v>12</v>
      </c>
      <c r="U33" s="70">
        <f t="shared" si="7"/>
        <v>12</v>
      </c>
      <c r="V33" s="12">
        <v>11</v>
      </c>
      <c r="W33" s="62">
        <v>1</v>
      </c>
      <c r="X33" s="66"/>
      <c r="Y33" s="75">
        <f t="shared" si="14"/>
        <v>0</v>
      </c>
      <c r="Z33" s="64">
        <f t="shared" si="11"/>
        <v>0</v>
      </c>
      <c r="AA33" s="90"/>
      <c r="AB33" s="2"/>
      <c r="AC33" s="2"/>
      <c r="AD33" s="2"/>
      <c r="AE33" s="2"/>
      <c r="AF33" s="2"/>
    </row>
    <row r="34" spans="1:32" ht="23">
      <c r="A34" s="2"/>
      <c r="B34" s="9">
        <v>30</v>
      </c>
      <c r="C34" s="71">
        <v>46191</v>
      </c>
      <c r="D34" s="99" t="s">
        <v>81</v>
      </c>
      <c r="E34" s="71" t="s">
        <v>16</v>
      </c>
      <c r="F34" s="72" t="s">
        <v>57</v>
      </c>
      <c r="G34" s="72"/>
      <c r="H34" s="100"/>
      <c r="I34" s="66"/>
      <c r="J34" s="12"/>
      <c r="K34" s="12"/>
      <c r="L34" s="66"/>
      <c r="M34" s="12"/>
      <c r="N34" s="12">
        <v>90</v>
      </c>
      <c r="O34" s="66">
        <f>N34</f>
        <v>90</v>
      </c>
      <c r="P34" s="12"/>
      <c r="Q34" s="12"/>
      <c r="R34" s="66"/>
      <c r="S34" s="66"/>
      <c r="T34" s="73"/>
      <c r="U34" s="70"/>
      <c r="V34" s="12"/>
      <c r="W34" s="62"/>
      <c r="X34" s="66"/>
      <c r="Y34" s="107" t="s">
        <v>82</v>
      </c>
      <c r="Z34" s="108" t="s">
        <v>82</v>
      </c>
      <c r="AA34" s="90"/>
      <c r="AB34" s="2"/>
      <c r="AC34" s="2"/>
      <c r="AD34" s="2"/>
      <c r="AE34" s="2"/>
      <c r="AF34" s="2"/>
    </row>
    <row r="35" spans="1:32" ht="15">
      <c r="A35" s="2"/>
      <c r="B35" s="9">
        <v>31</v>
      </c>
      <c r="C35" s="103">
        <v>46195</v>
      </c>
      <c r="D35" s="104" t="s">
        <v>83</v>
      </c>
      <c r="E35" s="105" t="s">
        <v>16</v>
      </c>
      <c r="F35" s="106" t="s">
        <v>23</v>
      </c>
      <c r="G35" s="106"/>
      <c r="H35" s="12"/>
      <c r="I35" s="66">
        <f t="shared" si="8"/>
        <v>0</v>
      </c>
      <c r="J35" s="12"/>
      <c r="K35" s="12"/>
      <c r="L35" s="66">
        <f t="shared" si="3"/>
        <v>0</v>
      </c>
      <c r="M35" s="12"/>
      <c r="N35" s="12">
        <v>21</v>
      </c>
      <c r="O35" s="66">
        <f t="shared" si="4"/>
        <v>21</v>
      </c>
      <c r="P35" s="12"/>
      <c r="Q35" s="12"/>
      <c r="R35" s="66">
        <f t="shared" si="5"/>
        <v>0</v>
      </c>
      <c r="S35" s="66">
        <f t="shared" si="13"/>
        <v>0</v>
      </c>
      <c r="T35" s="73">
        <f t="shared" si="13"/>
        <v>21</v>
      </c>
      <c r="U35" s="70">
        <f t="shared" si="7"/>
        <v>21</v>
      </c>
      <c r="V35" s="12">
        <v>20</v>
      </c>
      <c r="W35" s="62">
        <v>1</v>
      </c>
      <c r="X35" s="66"/>
      <c r="Y35" s="75">
        <f t="shared" si="14"/>
        <v>0</v>
      </c>
      <c r="Z35" s="64">
        <f t="shared" si="11"/>
        <v>0</v>
      </c>
      <c r="AA35" s="90"/>
      <c r="AB35" s="2"/>
      <c r="AC35" s="2"/>
      <c r="AD35" s="2"/>
      <c r="AE35" s="2"/>
      <c r="AF35" s="2"/>
    </row>
    <row r="36" spans="1:32" ht="23">
      <c r="A36" s="2"/>
      <c r="B36" s="9">
        <v>32</v>
      </c>
      <c r="C36" s="71" t="s">
        <v>84</v>
      </c>
      <c r="D36" s="77" t="s">
        <v>85</v>
      </c>
      <c r="E36" s="10" t="s">
        <v>16</v>
      </c>
      <c r="F36" s="11" t="s">
        <v>26</v>
      </c>
      <c r="G36" s="11"/>
      <c r="H36" s="12"/>
      <c r="I36" s="66">
        <f t="shared" si="8"/>
        <v>0</v>
      </c>
      <c r="J36" s="12"/>
      <c r="K36" s="12"/>
      <c r="L36" s="66">
        <f t="shared" si="3"/>
        <v>0</v>
      </c>
      <c r="M36" s="12"/>
      <c r="N36" s="12"/>
      <c r="O36" s="66">
        <f t="shared" si="4"/>
        <v>0</v>
      </c>
      <c r="P36" s="12"/>
      <c r="Q36" s="12">
        <v>16</v>
      </c>
      <c r="R36" s="66">
        <f t="shared" si="5"/>
        <v>16</v>
      </c>
      <c r="S36" s="66">
        <f t="shared" si="13"/>
        <v>0</v>
      </c>
      <c r="T36" s="73">
        <f t="shared" si="13"/>
        <v>16</v>
      </c>
      <c r="U36" s="70">
        <f t="shared" si="7"/>
        <v>16</v>
      </c>
      <c r="V36" s="12">
        <v>15</v>
      </c>
      <c r="W36" s="62">
        <v>1</v>
      </c>
      <c r="X36" s="63">
        <v>19444.439999999999</v>
      </c>
      <c r="Y36" s="75">
        <f t="shared" si="14"/>
        <v>1555.5552</v>
      </c>
      <c r="Z36" s="64">
        <f t="shared" si="11"/>
        <v>20999.995199999998</v>
      </c>
      <c r="AA36" s="90"/>
      <c r="AB36" s="2"/>
      <c r="AC36" s="2"/>
      <c r="AD36" s="2"/>
      <c r="AE36" s="2"/>
      <c r="AF36" s="2"/>
    </row>
    <row r="37" spans="1:32" ht="23">
      <c r="A37" s="2"/>
      <c r="B37" s="9">
        <v>33</v>
      </c>
      <c r="C37" s="71" t="s">
        <v>86</v>
      </c>
      <c r="D37" s="71" t="s">
        <v>87</v>
      </c>
      <c r="E37" s="10" t="s">
        <v>16</v>
      </c>
      <c r="F37" s="11" t="s">
        <v>26</v>
      </c>
      <c r="G37" s="11"/>
      <c r="H37" s="12"/>
      <c r="I37" s="66">
        <f t="shared" si="8"/>
        <v>0</v>
      </c>
      <c r="J37" s="12"/>
      <c r="K37" s="12"/>
      <c r="L37" s="66">
        <f t="shared" si="3"/>
        <v>0</v>
      </c>
      <c r="M37" s="12"/>
      <c r="N37" s="12">
        <v>27</v>
      </c>
      <c r="O37" s="66">
        <f t="shared" si="4"/>
        <v>27</v>
      </c>
      <c r="P37" s="12"/>
      <c r="Q37" s="12"/>
      <c r="R37" s="66">
        <f t="shared" si="5"/>
        <v>0</v>
      </c>
      <c r="S37" s="66">
        <f t="shared" si="13"/>
        <v>0</v>
      </c>
      <c r="T37" s="73">
        <f t="shared" si="13"/>
        <v>27</v>
      </c>
      <c r="U37" s="70">
        <f t="shared" si="7"/>
        <v>27</v>
      </c>
      <c r="V37" s="12">
        <v>26</v>
      </c>
      <c r="W37" s="62">
        <v>1</v>
      </c>
      <c r="X37" s="63">
        <v>25925</v>
      </c>
      <c r="Y37" s="75">
        <f t="shared" si="14"/>
        <v>2074</v>
      </c>
      <c r="Z37" s="64">
        <f t="shared" si="11"/>
        <v>27999</v>
      </c>
      <c r="AA37" s="90"/>
      <c r="AB37" s="2"/>
      <c r="AC37" s="2"/>
      <c r="AD37" s="2"/>
      <c r="AE37" s="2"/>
      <c r="AF37" s="2"/>
    </row>
    <row r="38" spans="1:32" ht="34.5">
      <c r="A38" s="2"/>
      <c r="B38" s="9">
        <v>34</v>
      </c>
      <c r="C38" s="71" t="s">
        <v>88</v>
      </c>
      <c r="D38" s="71" t="s">
        <v>89</v>
      </c>
      <c r="E38" s="71" t="s">
        <v>16</v>
      </c>
      <c r="F38" s="72" t="s">
        <v>90</v>
      </c>
      <c r="G38" s="66"/>
      <c r="H38" s="66">
        <v>2</v>
      </c>
      <c r="I38" s="66">
        <f t="shared" si="8"/>
        <v>2</v>
      </c>
      <c r="J38" s="66"/>
      <c r="K38" s="66"/>
      <c r="L38" s="66">
        <f t="shared" si="3"/>
        <v>0</v>
      </c>
      <c r="M38" s="66"/>
      <c r="N38" s="66"/>
      <c r="O38" s="66">
        <f t="shared" si="4"/>
        <v>0</v>
      </c>
      <c r="P38" s="66"/>
      <c r="Q38" s="66"/>
      <c r="R38" s="66">
        <f t="shared" si="5"/>
        <v>0</v>
      </c>
      <c r="S38" s="66">
        <f t="shared" si="13"/>
        <v>0</v>
      </c>
      <c r="T38" s="73">
        <f t="shared" si="13"/>
        <v>2</v>
      </c>
      <c r="U38" s="70">
        <f t="shared" si="7"/>
        <v>2</v>
      </c>
      <c r="V38" s="66">
        <v>0</v>
      </c>
      <c r="W38" s="66">
        <v>2</v>
      </c>
      <c r="X38" s="63">
        <v>47845.58</v>
      </c>
      <c r="Y38" s="75">
        <f t="shared" si="14"/>
        <v>3827.6464000000001</v>
      </c>
      <c r="Z38" s="64">
        <f t="shared" si="11"/>
        <v>51673.2264</v>
      </c>
      <c r="AA38" s="2"/>
      <c r="AB38" s="2"/>
      <c r="AC38" s="2"/>
      <c r="AD38" s="2"/>
      <c r="AE38" s="2"/>
      <c r="AF38" s="2"/>
    </row>
    <row r="39" spans="1:32" ht="15">
      <c r="A39" s="2"/>
      <c r="B39" s="9">
        <v>35</v>
      </c>
      <c r="C39" s="71">
        <v>46223</v>
      </c>
      <c r="D39" s="71" t="s">
        <v>91</v>
      </c>
      <c r="E39" s="71" t="s">
        <v>16</v>
      </c>
      <c r="F39" s="72" t="s">
        <v>57</v>
      </c>
      <c r="G39" s="66"/>
      <c r="H39" s="66"/>
      <c r="I39" s="66">
        <f t="shared" si="8"/>
        <v>0</v>
      </c>
      <c r="J39" s="66"/>
      <c r="K39" s="66"/>
      <c r="L39" s="66">
        <f t="shared" si="3"/>
        <v>0</v>
      </c>
      <c r="M39" s="66"/>
      <c r="N39" s="66">
        <v>422</v>
      </c>
      <c r="O39" s="66">
        <v>422</v>
      </c>
      <c r="P39" s="66"/>
      <c r="Q39" s="66"/>
      <c r="R39" s="66">
        <f t="shared" si="5"/>
        <v>0</v>
      </c>
      <c r="S39" s="66">
        <f t="shared" si="13"/>
        <v>0</v>
      </c>
      <c r="T39" s="73">
        <f t="shared" si="13"/>
        <v>422</v>
      </c>
      <c r="U39" s="70">
        <v>423</v>
      </c>
      <c r="V39" s="66">
        <v>410</v>
      </c>
      <c r="W39" s="66">
        <v>13</v>
      </c>
      <c r="X39" s="63"/>
      <c r="Y39" s="75">
        <f t="shared" si="14"/>
        <v>0</v>
      </c>
      <c r="Z39" s="64">
        <f t="shared" si="11"/>
        <v>0</v>
      </c>
      <c r="AA39" s="2"/>
      <c r="AB39" s="2"/>
      <c r="AC39" s="2"/>
      <c r="AD39" s="2"/>
      <c r="AE39" s="2"/>
      <c r="AF39" s="2"/>
    </row>
    <row r="40" spans="1:32" ht="15">
      <c r="A40" s="2"/>
      <c r="B40" s="9">
        <v>36</v>
      </c>
      <c r="C40" s="71">
        <v>46225</v>
      </c>
      <c r="D40" s="98" t="s">
        <v>92</v>
      </c>
      <c r="E40" s="71" t="s">
        <v>16</v>
      </c>
      <c r="F40" s="72" t="s">
        <v>57</v>
      </c>
      <c r="G40" s="66"/>
      <c r="H40" s="66"/>
      <c r="I40" s="66">
        <f t="shared" si="8"/>
        <v>0</v>
      </c>
      <c r="J40" s="66"/>
      <c r="K40" s="66"/>
      <c r="L40" s="66">
        <f t="shared" si="3"/>
        <v>0</v>
      </c>
      <c r="M40" s="66"/>
      <c r="N40" s="66">
        <v>471</v>
      </c>
      <c r="O40" s="66">
        <v>471</v>
      </c>
      <c r="P40" s="66"/>
      <c r="Q40" s="66"/>
      <c r="R40" s="66">
        <f t="shared" si="5"/>
        <v>0</v>
      </c>
      <c r="S40" s="66">
        <f t="shared" si="13"/>
        <v>0</v>
      </c>
      <c r="T40" s="73">
        <f t="shared" si="13"/>
        <v>471</v>
      </c>
      <c r="U40" s="70">
        <v>471</v>
      </c>
      <c r="V40" s="66">
        <v>448</v>
      </c>
      <c r="W40" s="66">
        <v>23</v>
      </c>
      <c r="X40" s="63"/>
      <c r="Y40" s="75">
        <f t="shared" si="14"/>
        <v>0</v>
      </c>
      <c r="Z40" s="64">
        <f t="shared" si="11"/>
        <v>0</v>
      </c>
      <c r="AA40" s="2"/>
      <c r="AB40" s="2"/>
      <c r="AC40" s="2"/>
      <c r="AD40" s="2"/>
      <c r="AE40" s="2"/>
      <c r="AF40" s="2"/>
    </row>
    <row r="41" spans="1:32" ht="15">
      <c r="A41" s="2"/>
      <c r="B41" s="9">
        <v>37</v>
      </c>
      <c r="C41" s="76">
        <v>46226</v>
      </c>
      <c r="D41" s="96" t="s">
        <v>93</v>
      </c>
      <c r="E41" s="97" t="s">
        <v>16</v>
      </c>
      <c r="F41" s="72" t="s">
        <v>57</v>
      </c>
      <c r="G41" s="66"/>
      <c r="H41" s="66"/>
      <c r="I41" s="66">
        <f t="shared" si="8"/>
        <v>0</v>
      </c>
      <c r="J41" s="66"/>
      <c r="K41" s="66"/>
      <c r="L41" s="66">
        <f t="shared" si="3"/>
        <v>0</v>
      </c>
      <c r="M41" s="66"/>
      <c r="N41" s="66"/>
      <c r="O41" s="66">
        <f t="shared" si="4"/>
        <v>0</v>
      </c>
      <c r="P41" s="66"/>
      <c r="Q41" s="66">
        <v>51</v>
      </c>
      <c r="R41" s="66">
        <f t="shared" si="5"/>
        <v>51</v>
      </c>
      <c r="S41" s="66">
        <f t="shared" si="13"/>
        <v>0</v>
      </c>
      <c r="T41" s="73">
        <f t="shared" si="13"/>
        <v>51</v>
      </c>
      <c r="U41" s="70">
        <f t="shared" si="7"/>
        <v>51</v>
      </c>
      <c r="V41" s="66">
        <v>51</v>
      </c>
      <c r="W41" s="66"/>
      <c r="X41" s="63"/>
      <c r="Y41" s="75">
        <f t="shared" si="14"/>
        <v>0</v>
      </c>
      <c r="Z41" s="64">
        <f t="shared" si="11"/>
        <v>0</v>
      </c>
      <c r="AA41" s="2"/>
      <c r="AB41" s="2"/>
      <c r="AC41" s="2"/>
      <c r="AD41" s="2"/>
      <c r="AE41" s="2"/>
      <c r="AF41" s="2"/>
    </row>
    <row r="42" spans="1:32" ht="15">
      <c r="A42" s="2"/>
      <c r="B42" s="9">
        <v>38</v>
      </c>
      <c r="C42" s="76">
        <v>46227</v>
      </c>
      <c r="D42" s="96" t="s">
        <v>94</v>
      </c>
      <c r="E42" s="97" t="s">
        <v>16</v>
      </c>
      <c r="F42" s="72" t="s">
        <v>57</v>
      </c>
      <c r="G42" s="66"/>
      <c r="H42" s="66"/>
      <c r="I42" s="66">
        <f t="shared" si="8"/>
        <v>0</v>
      </c>
      <c r="J42" s="66"/>
      <c r="K42" s="66"/>
      <c r="L42" s="66">
        <f t="shared" si="3"/>
        <v>0</v>
      </c>
      <c r="M42" s="66"/>
      <c r="N42" s="66"/>
      <c r="O42" s="66">
        <f t="shared" si="4"/>
        <v>0</v>
      </c>
      <c r="P42" s="66"/>
      <c r="Q42" s="66">
        <v>19</v>
      </c>
      <c r="R42" s="66">
        <f t="shared" si="5"/>
        <v>19</v>
      </c>
      <c r="S42" s="66">
        <f t="shared" ref="S42:S44" si="15">G42+J42+M42+P42</f>
        <v>0</v>
      </c>
      <c r="T42" s="73">
        <f t="shared" ref="T42:T44" si="16">H42+K42+N42+Q42</f>
        <v>19</v>
      </c>
      <c r="U42" s="70">
        <f t="shared" si="7"/>
        <v>19</v>
      </c>
      <c r="V42" s="66">
        <v>19</v>
      </c>
      <c r="W42" s="66"/>
      <c r="X42" s="63"/>
      <c r="Y42" s="75">
        <f t="shared" si="14"/>
        <v>0</v>
      </c>
      <c r="Z42" s="64">
        <f t="shared" si="11"/>
        <v>0</v>
      </c>
      <c r="AA42" s="2"/>
      <c r="AB42" s="2"/>
      <c r="AC42" s="2"/>
      <c r="AD42" s="2"/>
      <c r="AE42" s="2"/>
      <c r="AF42" s="2"/>
    </row>
    <row r="43" spans="1:32" ht="15">
      <c r="A43" s="2"/>
      <c r="B43" s="9">
        <v>39</v>
      </c>
      <c r="C43" s="76">
        <v>46226</v>
      </c>
      <c r="D43" s="96" t="s">
        <v>95</v>
      </c>
      <c r="E43" s="97" t="s">
        <v>16</v>
      </c>
      <c r="F43" s="72" t="s">
        <v>57</v>
      </c>
      <c r="G43" s="66"/>
      <c r="H43" s="66"/>
      <c r="I43" s="66">
        <f t="shared" si="8"/>
        <v>0</v>
      </c>
      <c r="J43" s="66"/>
      <c r="K43" s="66"/>
      <c r="L43" s="66">
        <f t="shared" si="3"/>
        <v>0</v>
      </c>
      <c r="M43" s="66"/>
      <c r="N43" s="66">
        <v>158</v>
      </c>
      <c r="O43" s="66">
        <v>158</v>
      </c>
      <c r="P43" s="66"/>
      <c r="Q43" s="66"/>
      <c r="R43" s="66">
        <f t="shared" si="5"/>
        <v>0</v>
      </c>
      <c r="S43" s="66">
        <f t="shared" si="15"/>
        <v>0</v>
      </c>
      <c r="T43" s="73">
        <f t="shared" si="16"/>
        <v>158</v>
      </c>
      <c r="U43" s="70">
        <f t="shared" si="7"/>
        <v>158</v>
      </c>
      <c r="V43" s="66">
        <v>158</v>
      </c>
      <c r="W43" s="66"/>
      <c r="X43" s="63"/>
      <c r="Y43" s="75">
        <f t="shared" si="14"/>
        <v>0</v>
      </c>
      <c r="Z43" s="64">
        <f t="shared" si="11"/>
        <v>0</v>
      </c>
      <c r="AA43" s="2"/>
      <c r="AB43" s="2"/>
      <c r="AC43" s="2"/>
      <c r="AD43" s="2"/>
      <c r="AE43" s="2"/>
      <c r="AF43" s="2"/>
    </row>
    <row r="44" spans="1:32" ht="15">
      <c r="A44" s="2"/>
      <c r="B44" s="9">
        <v>40</v>
      </c>
      <c r="C44" s="71">
        <v>46227</v>
      </c>
      <c r="D44" s="98" t="s">
        <v>96</v>
      </c>
      <c r="E44" s="71" t="s">
        <v>16</v>
      </c>
      <c r="F44" s="72" t="s">
        <v>57</v>
      </c>
      <c r="G44" s="66"/>
      <c r="H44" s="66"/>
      <c r="I44" s="66">
        <f t="shared" si="8"/>
        <v>0</v>
      </c>
      <c r="J44" s="66"/>
      <c r="K44" s="66"/>
      <c r="L44" s="66">
        <f t="shared" si="3"/>
        <v>0</v>
      </c>
      <c r="M44" s="66"/>
      <c r="N44" s="66">
        <v>363</v>
      </c>
      <c r="O44" s="66">
        <v>363</v>
      </c>
      <c r="P44" s="66"/>
      <c r="Q44" s="66"/>
      <c r="R44" s="66">
        <f t="shared" si="5"/>
        <v>0</v>
      </c>
      <c r="S44" s="66">
        <f t="shared" si="15"/>
        <v>0</v>
      </c>
      <c r="T44" s="73">
        <f t="shared" si="16"/>
        <v>363</v>
      </c>
      <c r="U44" s="70">
        <f>S44+T44</f>
        <v>363</v>
      </c>
      <c r="V44" s="66">
        <v>350</v>
      </c>
      <c r="W44" s="66">
        <v>13</v>
      </c>
      <c r="X44" s="63"/>
      <c r="Y44" s="75">
        <f t="shared" si="14"/>
        <v>0</v>
      </c>
      <c r="Z44" s="64">
        <f t="shared" si="11"/>
        <v>0</v>
      </c>
      <c r="AA44" s="2"/>
      <c r="AB44" s="2"/>
      <c r="AC44" s="2"/>
      <c r="AD44" s="2"/>
      <c r="AE44" s="2"/>
      <c r="AF44" s="2"/>
    </row>
    <row r="45" spans="1:32" ht="15">
      <c r="A45" s="2"/>
      <c r="B45" s="109">
        <v>41</v>
      </c>
      <c r="C45" s="71">
        <v>46230</v>
      </c>
      <c r="D45" s="98" t="s">
        <v>97</v>
      </c>
      <c r="E45" s="71"/>
      <c r="F45" s="72"/>
      <c r="G45" s="66"/>
      <c r="H45" s="66"/>
      <c r="I45" s="66"/>
      <c r="J45" s="66"/>
      <c r="K45" s="66"/>
      <c r="L45" s="66"/>
      <c r="M45" s="66"/>
      <c r="N45" s="66">
        <v>422</v>
      </c>
      <c r="O45" s="66">
        <v>422</v>
      </c>
      <c r="P45" s="66"/>
      <c r="Q45" s="66"/>
      <c r="R45" s="66"/>
      <c r="S45" s="66"/>
      <c r="T45" s="66">
        <v>422</v>
      </c>
      <c r="U45" s="66">
        <v>422</v>
      </c>
      <c r="V45" s="66"/>
      <c r="W45" s="66"/>
      <c r="X45" s="63"/>
      <c r="Y45" s="75"/>
      <c r="Z45" s="64"/>
      <c r="AA45" s="2"/>
      <c r="AB45" s="2"/>
      <c r="AC45" s="2"/>
      <c r="AD45" s="2"/>
      <c r="AE45" s="2"/>
      <c r="AF45" s="2"/>
    </row>
    <row r="46" spans="1:32" ht="15">
      <c r="A46" s="2"/>
      <c r="B46" s="109">
        <v>42</v>
      </c>
      <c r="C46" s="71">
        <v>46232</v>
      </c>
      <c r="D46" s="98" t="s">
        <v>98</v>
      </c>
      <c r="E46" s="71"/>
      <c r="F46" s="72"/>
      <c r="G46" s="66"/>
      <c r="H46" s="66"/>
      <c r="I46" s="66"/>
      <c r="J46" s="66"/>
      <c r="K46" s="66"/>
      <c r="L46" s="66"/>
      <c r="M46" s="66"/>
      <c r="N46" s="66">
        <v>471</v>
      </c>
      <c r="O46" s="66">
        <v>471</v>
      </c>
      <c r="P46" s="66"/>
      <c r="Q46" s="66"/>
      <c r="R46" s="66"/>
      <c r="S46" s="66"/>
      <c r="T46" s="66">
        <v>471</v>
      </c>
      <c r="U46" s="66">
        <v>471</v>
      </c>
      <c r="V46" s="66"/>
      <c r="W46" s="66"/>
      <c r="X46" s="63"/>
      <c r="Y46" s="75"/>
      <c r="Z46" s="64"/>
      <c r="AA46" s="2"/>
      <c r="AB46" s="2"/>
      <c r="AC46" s="2"/>
      <c r="AD46" s="2"/>
      <c r="AE46" s="2"/>
      <c r="AF46" s="2"/>
    </row>
    <row r="47" spans="1:32" ht="15">
      <c r="A47" s="2"/>
      <c r="B47" s="109">
        <v>43</v>
      </c>
      <c r="C47" s="71">
        <v>46234</v>
      </c>
      <c r="D47" s="98" t="s">
        <v>99</v>
      </c>
      <c r="E47" s="71"/>
      <c r="F47" s="72"/>
      <c r="G47" s="66"/>
      <c r="H47" s="66"/>
      <c r="I47" s="66"/>
      <c r="J47" s="66"/>
      <c r="K47" s="66"/>
      <c r="L47" s="66"/>
      <c r="M47" s="66"/>
      <c r="N47" s="66">
        <v>363</v>
      </c>
      <c r="O47" s="66">
        <v>363</v>
      </c>
      <c r="P47" s="66"/>
      <c r="Q47" s="66"/>
      <c r="R47" s="66"/>
      <c r="S47" s="66"/>
      <c r="T47" s="66">
        <v>363</v>
      </c>
      <c r="U47" s="66">
        <v>363</v>
      </c>
      <c r="V47" s="66"/>
      <c r="W47" s="66"/>
      <c r="X47" s="63"/>
      <c r="Y47" s="75"/>
      <c r="Z47" s="64"/>
      <c r="AA47" s="2"/>
      <c r="AB47" s="2"/>
      <c r="AC47" s="2"/>
      <c r="AD47" s="2"/>
      <c r="AE47" s="2"/>
      <c r="AF47" s="2"/>
    </row>
    <row r="48" spans="1:32" ht="23">
      <c r="A48" s="2"/>
      <c r="B48" s="109">
        <v>44</v>
      </c>
      <c r="C48" s="71" t="s">
        <v>100</v>
      </c>
      <c r="D48" s="98" t="s">
        <v>101</v>
      </c>
      <c r="E48" s="71" t="s">
        <v>16</v>
      </c>
      <c r="F48" s="72" t="s">
        <v>49</v>
      </c>
      <c r="G48" s="66"/>
      <c r="H48" s="66"/>
      <c r="I48" s="66"/>
      <c r="J48" s="66"/>
      <c r="K48" s="66"/>
      <c r="L48" s="66"/>
      <c r="M48" s="66"/>
      <c r="N48" s="66">
        <v>15</v>
      </c>
      <c r="O48" s="66">
        <v>15</v>
      </c>
      <c r="P48" s="66"/>
      <c r="Q48" s="66"/>
      <c r="R48" s="66"/>
      <c r="S48" s="66"/>
      <c r="T48" s="66">
        <v>15</v>
      </c>
      <c r="U48" s="66">
        <v>15</v>
      </c>
      <c r="V48" s="66">
        <v>12</v>
      </c>
      <c r="W48" s="66">
        <v>3</v>
      </c>
      <c r="X48" s="63">
        <v>44444.44</v>
      </c>
      <c r="Y48" s="75">
        <v>3555.56</v>
      </c>
      <c r="Z48" s="64">
        <v>48000</v>
      </c>
      <c r="AA48" s="2"/>
      <c r="AB48" s="2"/>
      <c r="AC48" s="2"/>
      <c r="AD48" s="2"/>
      <c r="AE48" s="2"/>
      <c r="AF48" s="2"/>
    </row>
    <row r="49" spans="1:32" ht="23">
      <c r="A49" s="2"/>
      <c r="B49" s="109">
        <v>45</v>
      </c>
      <c r="C49" s="71" t="s">
        <v>102</v>
      </c>
      <c r="D49" s="98" t="s">
        <v>103</v>
      </c>
      <c r="E49" s="71" t="s">
        <v>16</v>
      </c>
      <c r="F49" s="72" t="s">
        <v>26</v>
      </c>
      <c r="G49" s="66"/>
      <c r="H49" s="66"/>
      <c r="I49" s="66"/>
      <c r="J49" s="66"/>
      <c r="K49" s="66"/>
      <c r="L49" s="66"/>
      <c r="M49" s="66"/>
      <c r="N49" s="66">
        <v>24</v>
      </c>
      <c r="O49" s="66">
        <v>24</v>
      </c>
      <c r="P49" s="66"/>
      <c r="Q49" s="66"/>
      <c r="R49" s="66"/>
      <c r="S49" s="66"/>
      <c r="T49" s="66">
        <v>24</v>
      </c>
      <c r="U49" s="66">
        <v>24</v>
      </c>
      <c r="V49" s="66">
        <v>24</v>
      </c>
      <c r="W49" s="66"/>
      <c r="X49" s="63">
        <v>24000</v>
      </c>
      <c r="Y49" s="75">
        <v>1920</v>
      </c>
      <c r="Z49" s="64">
        <v>25920</v>
      </c>
      <c r="AA49" s="2"/>
      <c r="AB49" s="2"/>
      <c r="AC49" s="2"/>
      <c r="AD49" s="2"/>
      <c r="AE49" s="2"/>
      <c r="AF49" s="2"/>
    </row>
    <row r="50" spans="1:32">
      <c r="A50" s="2"/>
      <c r="B50" s="91"/>
      <c r="C50" s="92"/>
      <c r="D50" s="92"/>
      <c r="E50" s="92"/>
      <c r="F50" s="93"/>
      <c r="G50" s="94">
        <f>SUM(G5:G38)</f>
        <v>0</v>
      </c>
      <c r="H50" s="94">
        <f>SUM(H5:H38)</f>
        <v>77</v>
      </c>
      <c r="I50" s="94">
        <f>SUM(I5:I38)</f>
        <v>77</v>
      </c>
      <c r="J50" s="94">
        <f t="shared" ref="J50:S50" si="17">SUM(J5:J38)</f>
        <v>0</v>
      </c>
      <c r="K50" s="94">
        <f t="shared" si="17"/>
        <v>0</v>
      </c>
      <c r="L50" s="94">
        <f t="shared" si="17"/>
        <v>0</v>
      </c>
      <c r="M50" s="94">
        <f t="shared" si="17"/>
        <v>0</v>
      </c>
      <c r="N50" s="94">
        <f>SUM(N5:N49)</f>
        <v>3421</v>
      </c>
      <c r="O50" s="94">
        <f>SUM(O5:O49)</f>
        <v>3421</v>
      </c>
      <c r="P50" s="94">
        <f t="shared" si="17"/>
        <v>0</v>
      </c>
      <c r="Q50" s="94">
        <f>SUM(Q5:Q44)</f>
        <v>290</v>
      </c>
      <c r="R50" s="94">
        <f>SUM(R5:R44)</f>
        <v>290</v>
      </c>
      <c r="S50" s="94">
        <f t="shared" si="17"/>
        <v>0</v>
      </c>
      <c r="T50" s="94">
        <f>SUM(T5:T49)</f>
        <v>3560</v>
      </c>
      <c r="U50" s="94">
        <f>SUM(U5:U49)</f>
        <v>3561</v>
      </c>
      <c r="V50" s="94">
        <f>SUM(V5:V44)</f>
        <v>2148</v>
      </c>
      <c r="W50" s="94">
        <f>SUM(W5:W44)</f>
        <v>118</v>
      </c>
      <c r="X50" s="95">
        <f>SUM(X5:X38)</f>
        <v>787084.37999999989</v>
      </c>
      <c r="Y50" s="95">
        <f t="shared" ref="Y50:Z50" si="18">SUM(Y5:Y38)</f>
        <v>56481.126400000001</v>
      </c>
      <c r="Z50" s="95">
        <f t="shared" si="18"/>
        <v>843565.50640000007</v>
      </c>
      <c r="AA50" s="2"/>
      <c r="AB50" s="2"/>
      <c r="AC50" s="2"/>
      <c r="AD50" s="2"/>
      <c r="AE50" s="2"/>
      <c r="AF50" s="2"/>
    </row>
    <row r="51" spans="1:32">
      <c r="A51" s="2"/>
      <c r="B51" s="14"/>
      <c r="C51" s="15"/>
      <c r="D51" s="15"/>
      <c r="E51" s="15"/>
      <c r="F51" s="1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0"/>
      <c r="AA51" s="2"/>
      <c r="AB51" s="2"/>
      <c r="AC51" s="2"/>
      <c r="AD51" s="2"/>
      <c r="AE51" s="2"/>
      <c r="AF51" s="2"/>
    </row>
    <row r="52" spans="1:32">
      <c r="A52" s="2"/>
      <c r="B52" s="14"/>
      <c r="C52" s="15"/>
      <c r="D52" s="15"/>
      <c r="E52" s="15"/>
      <c r="F52" s="1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0"/>
      <c r="AA52" s="2"/>
      <c r="AB52" s="2"/>
      <c r="AC52" s="2"/>
      <c r="AD52" s="2"/>
      <c r="AE52" s="2"/>
      <c r="AF52" s="2"/>
    </row>
    <row r="53" spans="1:32">
      <c r="A53" s="2"/>
      <c r="B53" s="14"/>
      <c r="C53" s="15"/>
      <c r="D53" s="15"/>
      <c r="E53" s="15"/>
      <c r="F53" s="1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0"/>
      <c r="AA53" s="2"/>
      <c r="AB53" s="2"/>
      <c r="AC53" s="2"/>
      <c r="AD53" s="2"/>
      <c r="AE53" s="2"/>
      <c r="AF53" s="2"/>
    </row>
    <row r="54" spans="1:32">
      <c r="A54" s="2"/>
      <c r="B54" s="14"/>
      <c r="C54" s="15"/>
      <c r="D54" s="15"/>
      <c r="E54" s="15"/>
      <c r="F54" s="1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60"/>
      <c r="AA54" s="2"/>
      <c r="AB54" s="2"/>
      <c r="AC54" s="2"/>
      <c r="AD54" s="2"/>
      <c r="AE54" s="2"/>
      <c r="AF54" s="2"/>
    </row>
    <row r="55" spans="1:32">
      <c r="A55" s="2"/>
      <c r="B55" s="14"/>
      <c r="C55" s="15"/>
      <c r="D55" s="15"/>
      <c r="E55" s="15"/>
      <c r="F55" s="1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60"/>
      <c r="AA55" s="2"/>
      <c r="AB55" s="2"/>
      <c r="AC55" s="2"/>
      <c r="AD55" s="2"/>
      <c r="AE55" s="2"/>
      <c r="AF55" s="2"/>
    </row>
    <row r="56" spans="1:32">
      <c r="A56" s="2"/>
      <c r="B56" s="14"/>
      <c r="C56" s="15"/>
      <c r="D56" s="15"/>
      <c r="E56" s="15"/>
      <c r="F56" s="1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0"/>
      <c r="AA56" s="2"/>
      <c r="AB56" s="2"/>
      <c r="AC56" s="2"/>
      <c r="AD56" s="2"/>
      <c r="AE56" s="2"/>
      <c r="AF56" s="2"/>
    </row>
    <row r="57" spans="1:32">
      <c r="A57" s="2"/>
      <c r="B57" s="14"/>
      <c r="C57" s="15"/>
      <c r="D57" s="15"/>
      <c r="E57" s="15"/>
      <c r="F57" s="1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0"/>
      <c r="AA57" s="2"/>
      <c r="AB57" s="2"/>
      <c r="AC57" s="2"/>
      <c r="AD57" s="2"/>
      <c r="AE57" s="2"/>
      <c r="AF57" s="2"/>
    </row>
    <row r="58" spans="1:32">
      <c r="A58" s="2"/>
      <c r="B58" s="14"/>
      <c r="C58" s="15"/>
      <c r="D58" s="15"/>
      <c r="E58" s="15"/>
      <c r="F58" s="1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60"/>
      <c r="AA58" s="2"/>
      <c r="AB58" s="2"/>
      <c r="AC58" s="2"/>
      <c r="AD58" s="2"/>
      <c r="AE58" s="2"/>
      <c r="AF58" s="2"/>
    </row>
    <row r="59" spans="1:32">
      <c r="A59" s="2"/>
      <c r="B59" s="14"/>
      <c r="C59" s="15"/>
      <c r="D59" s="15"/>
      <c r="E59" s="15"/>
      <c r="F59" s="1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0"/>
      <c r="AA59" s="2"/>
      <c r="AB59" s="2"/>
      <c r="AC59" s="2"/>
      <c r="AD59" s="2"/>
      <c r="AE59" s="2"/>
      <c r="AF59" s="2"/>
    </row>
    <row r="60" spans="1:32">
      <c r="A60" s="2"/>
      <c r="B60" s="14"/>
      <c r="C60" s="15"/>
      <c r="D60" s="15"/>
      <c r="E60" s="15"/>
      <c r="F60" s="1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0"/>
      <c r="AA60" s="2"/>
      <c r="AB60" s="2"/>
      <c r="AC60" s="2"/>
      <c r="AD60" s="2"/>
      <c r="AE60" s="2"/>
      <c r="AF60" s="2"/>
    </row>
    <row r="61" spans="1:32">
      <c r="A61" s="2"/>
      <c r="B61" s="14"/>
      <c r="C61" s="15"/>
      <c r="D61" s="15"/>
      <c r="E61" s="15"/>
      <c r="F61" s="1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0"/>
      <c r="AA61" s="2"/>
      <c r="AB61" s="2"/>
      <c r="AC61" s="2"/>
      <c r="AD61" s="2"/>
      <c r="AE61" s="2"/>
      <c r="AF61" s="2"/>
    </row>
    <row r="62" spans="1:32">
      <c r="A62" s="2"/>
      <c r="B62" s="14"/>
      <c r="C62" s="15"/>
      <c r="D62" s="15"/>
      <c r="E62" s="15"/>
      <c r="F62" s="1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0"/>
      <c r="AA62" s="2"/>
      <c r="AB62" s="2"/>
      <c r="AC62" s="2"/>
      <c r="AD62" s="2"/>
      <c r="AE62" s="2"/>
      <c r="AF62" s="2"/>
    </row>
    <row r="63" spans="1:32">
      <c r="A63" s="2"/>
      <c r="B63" s="14"/>
      <c r="C63" s="15"/>
      <c r="D63" s="15"/>
      <c r="E63" s="15"/>
      <c r="F63" s="1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0"/>
      <c r="AA63" s="2"/>
      <c r="AB63" s="2"/>
      <c r="AC63" s="2"/>
      <c r="AD63" s="2"/>
      <c r="AE63" s="2"/>
      <c r="AF63" s="2"/>
    </row>
    <row r="64" spans="1:32">
      <c r="A64" s="2"/>
      <c r="B64" s="14"/>
      <c r="C64" s="15"/>
      <c r="D64" s="15"/>
      <c r="E64" s="15"/>
      <c r="F64" s="1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0"/>
      <c r="AA64" s="2"/>
      <c r="AB64" s="2"/>
      <c r="AC64" s="2"/>
      <c r="AD64" s="2"/>
      <c r="AE64" s="2"/>
      <c r="AF64" s="2"/>
    </row>
    <row r="65" spans="1:32">
      <c r="A65" s="2"/>
      <c r="B65" s="14"/>
      <c r="C65" s="15"/>
      <c r="D65" s="15"/>
      <c r="E65" s="15"/>
      <c r="F65" s="1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0"/>
      <c r="AA65" s="2"/>
      <c r="AB65" s="2"/>
      <c r="AC65" s="2"/>
      <c r="AD65" s="2"/>
      <c r="AE65" s="2"/>
      <c r="AF65" s="2"/>
    </row>
    <row r="66" spans="1:32">
      <c r="A66" s="2"/>
      <c r="B66" s="14"/>
      <c r="C66" s="15"/>
      <c r="D66" s="15"/>
      <c r="E66" s="15"/>
      <c r="F66" s="1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0"/>
      <c r="AA66" s="2"/>
      <c r="AB66" s="2"/>
      <c r="AC66" s="2"/>
      <c r="AD66" s="2"/>
      <c r="AE66" s="2"/>
      <c r="AF66" s="2"/>
    </row>
    <row r="67" spans="1:32">
      <c r="A67" s="2"/>
      <c r="B67" s="14"/>
      <c r="C67" s="15"/>
      <c r="D67" s="15"/>
      <c r="E67" s="15"/>
      <c r="F67" s="1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60"/>
      <c r="AA67" s="2"/>
      <c r="AB67" s="2"/>
      <c r="AC67" s="2"/>
      <c r="AD67" s="2"/>
      <c r="AE67" s="2"/>
      <c r="AF67" s="2"/>
    </row>
    <row r="68" spans="1:32">
      <c r="A68" s="2"/>
      <c r="B68" s="14"/>
      <c r="C68" s="15"/>
      <c r="D68" s="15"/>
      <c r="E68" s="15"/>
      <c r="F68" s="1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60"/>
      <c r="AA68" s="2"/>
      <c r="AB68" s="2"/>
      <c r="AC68" s="2"/>
      <c r="AD68" s="2"/>
      <c r="AE68" s="2"/>
      <c r="AF68" s="2"/>
    </row>
    <row r="69" spans="1:32">
      <c r="A69" s="2"/>
      <c r="B69" s="14"/>
      <c r="C69" s="15"/>
      <c r="D69" s="15"/>
      <c r="E69" s="15"/>
      <c r="F69" s="1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60"/>
      <c r="AA69" s="2"/>
      <c r="AB69" s="2"/>
      <c r="AC69" s="2"/>
      <c r="AD69" s="2"/>
      <c r="AE69" s="2"/>
      <c r="AF69" s="2"/>
    </row>
    <row r="70" spans="1:32">
      <c r="A70" s="2"/>
      <c r="B70" s="14"/>
      <c r="C70" s="15"/>
      <c r="D70" s="15"/>
      <c r="E70" s="15"/>
      <c r="F70" s="1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60"/>
      <c r="AA70" s="2"/>
      <c r="AB70" s="2"/>
      <c r="AC70" s="2"/>
      <c r="AD70" s="2"/>
      <c r="AE70" s="2"/>
      <c r="AF70" s="2"/>
    </row>
    <row r="71" spans="1:32">
      <c r="A71" s="2"/>
      <c r="B71" s="14"/>
      <c r="C71" s="15"/>
      <c r="D71" s="15"/>
      <c r="E71" s="15"/>
      <c r="F71" s="1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60"/>
      <c r="AA71" s="2"/>
      <c r="AB71" s="2"/>
      <c r="AC71" s="2"/>
      <c r="AD71" s="2"/>
      <c r="AE71" s="2"/>
      <c r="AF71" s="2"/>
    </row>
    <row r="72" spans="1:32">
      <c r="A72" s="2"/>
      <c r="B72" s="14"/>
      <c r="C72" s="15"/>
      <c r="D72" s="15"/>
      <c r="E72" s="15"/>
      <c r="F72" s="1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60"/>
      <c r="AA72" s="2"/>
      <c r="AB72" s="2"/>
      <c r="AC72" s="2"/>
      <c r="AD72" s="2"/>
      <c r="AE72" s="2"/>
      <c r="AF72" s="2"/>
    </row>
    <row r="73" spans="1:32">
      <c r="A73" s="2"/>
      <c r="B73" s="14"/>
      <c r="C73" s="15"/>
      <c r="D73" s="15"/>
      <c r="E73" s="15"/>
      <c r="F73" s="1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60"/>
      <c r="AA73" s="2"/>
      <c r="AB73" s="2"/>
      <c r="AC73" s="2"/>
      <c r="AD73" s="2"/>
      <c r="AE73" s="2"/>
      <c r="AF73" s="2"/>
    </row>
    <row r="74" spans="1:32">
      <c r="A74" s="2"/>
      <c r="B74" s="14"/>
      <c r="C74" s="15"/>
      <c r="D74" s="15"/>
      <c r="E74" s="15"/>
      <c r="F74" s="1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60"/>
      <c r="AA74" s="2"/>
      <c r="AB74" s="2"/>
      <c r="AC74" s="2"/>
      <c r="AD74" s="2"/>
      <c r="AE74" s="2"/>
      <c r="AF74" s="2"/>
    </row>
    <row r="75" spans="1:32">
      <c r="A75" s="2"/>
      <c r="B75" s="14"/>
      <c r="C75" s="15"/>
      <c r="D75" s="15"/>
      <c r="E75" s="15"/>
      <c r="F75" s="1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60"/>
      <c r="AA75" s="2"/>
      <c r="AB75" s="2"/>
      <c r="AC75" s="2"/>
      <c r="AD75" s="2"/>
      <c r="AE75" s="2"/>
      <c r="AF75" s="2"/>
    </row>
    <row r="76" spans="1:32">
      <c r="A76" s="2"/>
      <c r="B76" s="14"/>
      <c r="C76" s="15"/>
      <c r="D76" s="15"/>
      <c r="E76" s="15"/>
      <c r="F76" s="1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60"/>
      <c r="AA76" s="2"/>
      <c r="AB76" s="2"/>
      <c r="AC76" s="2"/>
      <c r="AD76" s="2"/>
      <c r="AE76" s="2"/>
      <c r="AF76" s="2"/>
    </row>
    <row r="77" spans="1:32">
      <c r="A77" s="2"/>
      <c r="B77" s="14"/>
      <c r="C77" s="15"/>
      <c r="D77" s="15"/>
      <c r="E77" s="15"/>
      <c r="F77" s="1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60"/>
      <c r="AA77" s="2"/>
      <c r="AB77" s="2"/>
      <c r="AC77" s="2"/>
      <c r="AD77" s="2"/>
      <c r="AE77" s="2"/>
      <c r="AF77" s="2"/>
    </row>
    <row r="78" spans="1:32">
      <c r="A78" s="2"/>
      <c r="B78" s="14"/>
      <c r="C78" s="15"/>
      <c r="D78" s="15"/>
      <c r="E78" s="15"/>
      <c r="F78" s="1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60"/>
      <c r="AA78" s="2"/>
      <c r="AB78" s="2"/>
      <c r="AC78" s="2"/>
      <c r="AD78" s="2"/>
      <c r="AE78" s="2"/>
      <c r="AF78" s="2"/>
    </row>
    <row r="79" spans="1:32">
      <c r="A79" s="2"/>
      <c r="B79" s="14"/>
      <c r="C79" s="15"/>
      <c r="D79" s="15"/>
      <c r="E79" s="15"/>
      <c r="F79" s="1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60"/>
      <c r="AA79" s="2"/>
      <c r="AB79" s="2"/>
      <c r="AC79" s="2"/>
      <c r="AD79" s="2"/>
      <c r="AE79" s="2"/>
      <c r="AF79" s="2"/>
    </row>
    <row r="80" spans="1:32">
      <c r="A80" s="13"/>
      <c r="B80" s="14"/>
      <c r="C80" s="15"/>
      <c r="D80" s="15"/>
      <c r="E80" s="15"/>
      <c r="F80" s="1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61"/>
      <c r="AA80" s="13"/>
      <c r="AB80" s="13"/>
      <c r="AC80" s="13"/>
      <c r="AD80" s="13"/>
      <c r="AE80" s="13"/>
      <c r="AF80" s="13"/>
    </row>
    <row r="81" spans="1:32">
      <c r="A81" s="2"/>
      <c r="B81" s="14"/>
      <c r="C81" s="15"/>
      <c r="D81" s="15"/>
      <c r="E81" s="15"/>
      <c r="F81" s="1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60"/>
      <c r="AA81" s="2"/>
      <c r="AB81" s="2"/>
      <c r="AC81" s="2"/>
      <c r="AD81" s="2"/>
      <c r="AE81" s="2"/>
      <c r="AF81" s="2"/>
    </row>
  </sheetData>
  <mergeCells count="17">
    <mergeCell ref="B2:R2"/>
    <mergeCell ref="S2:U2"/>
    <mergeCell ref="B3:B4"/>
    <mergeCell ref="C3:C4"/>
    <mergeCell ref="D3:D4"/>
    <mergeCell ref="E3:E4"/>
    <mergeCell ref="F3:F4"/>
    <mergeCell ref="G3:I3"/>
    <mergeCell ref="J3:L3"/>
    <mergeCell ref="M3:O3"/>
    <mergeCell ref="AE4:AE5"/>
    <mergeCell ref="P3:R3"/>
    <mergeCell ref="S3:U3"/>
    <mergeCell ref="V3:W3"/>
    <mergeCell ref="X3:X4"/>
    <mergeCell ref="Y3:Y4"/>
    <mergeCell ref="Z3:Z4"/>
  </mergeCells>
  <dataValidations count="1">
    <dataValidation type="list" allowBlank="1" showInputMessage="1" showErrorMessage="1" sqref="E5:E49" xr:uid="{F6FFD347-0673-4BB6-9A8F-37DEB5CC25CA}">
      <formula1>"Academic/Industrial Visit, Training"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8"/>
  <sheetViews>
    <sheetView workbookViewId="0">
      <selection activeCell="L16" sqref="L16"/>
    </sheetView>
  </sheetViews>
  <sheetFormatPr defaultRowHeight="14.5"/>
  <cols>
    <col min="1" max="1" width="4.453125" customWidth="1"/>
    <col min="2" max="2" width="3.54296875" bestFit="1" customWidth="1"/>
    <col min="3" max="3" width="44.1796875" bestFit="1" customWidth="1"/>
    <col min="4" max="4" width="24.26953125" bestFit="1" customWidth="1"/>
    <col min="5" max="5" width="9.1796875" style="37"/>
    <col min="6" max="6" width="10" style="37" bestFit="1" customWidth="1"/>
    <col min="8" max="8" width="3.26953125" bestFit="1" customWidth="1"/>
    <col min="9" max="10" width="25.81640625" bestFit="1" customWidth="1"/>
    <col min="11" max="11" width="9.1796875" style="37"/>
    <col min="12" max="12" width="10.1796875" style="37" customWidth="1"/>
  </cols>
  <sheetData>
    <row r="1" spans="1:12" ht="45" customHeight="1">
      <c r="A1" s="36"/>
      <c r="C1" s="132" t="s">
        <v>107</v>
      </c>
      <c r="D1" s="132"/>
      <c r="I1" s="133" t="s">
        <v>108</v>
      </c>
      <c r="J1" s="133"/>
    </row>
    <row r="2" spans="1:12" ht="15" thickBot="1"/>
    <row r="3" spans="1:12" ht="15" thickBot="1">
      <c r="B3" s="38" t="s">
        <v>1</v>
      </c>
      <c r="C3" s="39" t="s">
        <v>109</v>
      </c>
      <c r="D3" s="40" t="s">
        <v>110</v>
      </c>
      <c r="E3" s="37" t="s">
        <v>111</v>
      </c>
      <c r="F3" s="37" t="s">
        <v>112</v>
      </c>
      <c r="H3" s="46" t="s">
        <v>113</v>
      </c>
      <c r="I3" s="47" t="s">
        <v>114</v>
      </c>
      <c r="J3" s="47" t="s">
        <v>115</v>
      </c>
      <c r="K3" s="37" t="s">
        <v>111</v>
      </c>
      <c r="L3" s="37" t="s">
        <v>112</v>
      </c>
    </row>
    <row r="4" spans="1:12" ht="20.149999999999999" customHeight="1" thickBot="1">
      <c r="B4" s="41">
        <v>1</v>
      </c>
      <c r="C4" s="42" t="s">
        <v>116</v>
      </c>
      <c r="D4" s="40" t="s">
        <v>117</v>
      </c>
      <c r="E4" s="37">
        <v>1</v>
      </c>
      <c r="H4" s="48">
        <v>1</v>
      </c>
      <c r="I4" s="49" t="s">
        <v>118</v>
      </c>
      <c r="J4" s="49" t="s">
        <v>118</v>
      </c>
      <c r="K4" s="37">
        <v>1</v>
      </c>
    </row>
    <row r="5" spans="1:12" ht="20.149999999999999" customHeight="1" thickBot="1">
      <c r="B5" s="41">
        <v>2</v>
      </c>
      <c r="C5" s="43" t="s">
        <v>119</v>
      </c>
      <c r="D5" s="40" t="s">
        <v>120</v>
      </c>
      <c r="E5" s="37">
        <v>1</v>
      </c>
      <c r="H5" s="48">
        <v>2</v>
      </c>
      <c r="I5" s="49" t="s">
        <v>121</v>
      </c>
      <c r="J5" s="49" t="s">
        <v>121</v>
      </c>
      <c r="K5" s="37">
        <v>1</v>
      </c>
    </row>
    <row r="6" spans="1:12" ht="20.149999999999999" customHeight="1" thickBot="1">
      <c r="B6" s="41">
        <v>3</v>
      </c>
      <c r="C6" s="43" t="s">
        <v>122</v>
      </c>
      <c r="D6" s="40" t="s">
        <v>123</v>
      </c>
      <c r="E6" s="37">
        <v>1</v>
      </c>
      <c r="H6" s="48">
        <v>3</v>
      </c>
      <c r="I6" s="49" t="s">
        <v>124</v>
      </c>
      <c r="J6" s="49" t="s">
        <v>124</v>
      </c>
      <c r="K6" s="37">
        <v>1</v>
      </c>
    </row>
    <row r="7" spans="1:12" ht="20.149999999999999" customHeight="1" thickBot="1">
      <c r="B7" s="41">
        <v>4</v>
      </c>
      <c r="C7" s="43" t="s">
        <v>125</v>
      </c>
      <c r="D7" s="40" t="s">
        <v>126</v>
      </c>
      <c r="F7" s="37">
        <v>1</v>
      </c>
      <c r="H7" s="48">
        <v>4</v>
      </c>
      <c r="I7" s="50" t="s">
        <v>127</v>
      </c>
      <c r="J7" s="50" t="s">
        <v>128</v>
      </c>
    </row>
    <row r="8" spans="1:12" ht="20.149999999999999" customHeight="1" thickBot="1">
      <c r="B8" s="41">
        <v>5</v>
      </c>
      <c r="C8" s="43" t="s">
        <v>129</v>
      </c>
      <c r="D8" s="40" t="s">
        <v>130</v>
      </c>
      <c r="E8" s="37">
        <v>1</v>
      </c>
      <c r="H8" s="48">
        <v>5</v>
      </c>
      <c r="I8" s="50" t="s">
        <v>131</v>
      </c>
      <c r="J8" s="50" t="s">
        <v>132</v>
      </c>
    </row>
    <row r="9" spans="1:12" ht="20.149999999999999" customHeight="1" thickBot="1">
      <c r="B9" s="41">
        <v>6</v>
      </c>
      <c r="C9" s="43" t="s">
        <v>133</v>
      </c>
      <c r="D9" s="40" t="s">
        <v>134</v>
      </c>
      <c r="F9" s="37">
        <v>1</v>
      </c>
      <c r="H9" s="48">
        <v>6</v>
      </c>
      <c r="I9" s="49" t="s">
        <v>135</v>
      </c>
      <c r="J9" s="49" t="s">
        <v>135</v>
      </c>
      <c r="L9" s="37">
        <v>1</v>
      </c>
    </row>
    <row r="10" spans="1:12" ht="20.149999999999999" customHeight="1" thickBot="1">
      <c r="B10" s="41">
        <v>7</v>
      </c>
      <c r="C10" s="43" t="s">
        <v>136</v>
      </c>
      <c r="D10" s="40" t="s">
        <v>137</v>
      </c>
      <c r="F10" s="37">
        <v>1</v>
      </c>
      <c r="H10" s="48">
        <v>7</v>
      </c>
      <c r="I10" s="49" t="s">
        <v>138</v>
      </c>
      <c r="J10" s="49" t="s">
        <v>138</v>
      </c>
      <c r="K10" s="37">
        <v>1</v>
      </c>
    </row>
    <row r="11" spans="1:12" ht="20.149999999999999" customHeight="1" thickBot="1">
      <c r="B11" s="41">
        <v>8</v>
      </c>
      <c r="C11" s="43" t="s">
        <v>139</v>
      </c>
      <c r="D11" s="40" t="s">
        <v>140</v>
      </c>
      <c r="E11" s="37">
        <v>1</v>
      </c>
      <c r="H11" s="48">
        <v>8</v>
      </c>
      <c r="I11" s="49" t="s">
        <v>141</v>
      </c>
      <c r="J11" s="49" t="s">
        <v>141</v>
      </c>
      <c r="L11" s="37">
        <v>1</v>
      </c>
    </row>
    <row r="12" spans="1:12" ht="20.149999999999999" customHeight="1" thickBot="1">
      <c r="B12" s="41">
        <v>9</v>
      </c>
      <c r="C12" s="43" t="s">
        <v>142</v>
      </c>
      <c r="D12" s="40" t="s">
        <v>143</v>
      </c>
      <c r="E12" s="37">
        <v>1</v>
      </c>
      <c r="H12" s="48">
        <v>9</v>
      </c>
      <c r="I12" s="49" t="s">
        <v>144</v>
      </c>
      <c r="J12" s="49" t="s">
        <v>144</v>
      </c>
      <c r="K12" s="37">
        <v>1</v>
      </c>
    </row>
    <row r="13" spans="1:12" ht="20.149999999999999" customHeight="1" thickBot="1">
      <c r="B13" s="41">
        <v>10</v>
      </c>
      <c r="C13" s="43" t="s">
        <v>145</v>
      </c>
      <c r="D13" s="40" t="s">
        <v>146</v>
      </c>
      <c r="F13" s="37">
        <v>1</v>
      </c>
      <c r="H13" s="48">
        <v>10</v>
      </c>
      <c r="I13" s="49" t="s">
        <v>147</v>
      </c>
      <c r="J13" s="49" t="s">
        <v>147</v>
      </c>
      <c r="L13" s="37">
        <v>1</v>
      </c>
    </row>
    <row r="14" spans="1:12" ht="20.149999999999999" customHeight="1" thickBot="1">
      <c r="B14" s="41">
        <v>11</v>
      </c>
      <c r="C14" s="43" t="s">
        <v>148</v>
      </c>
      <c r="D14" s="40" t="s">
        <v>149</v>
      </c>
      <c r="E14" s="37">
        <v>1</v>
      </c>
      <c r="H14" s="48">
        <v>11</v>
      </c>
      <c r="I14" s="49" t="s">
        <v>150</v>
      </c>
      <c r="J14" s="49" t="s">
        <v>150</v>
      </c>
      <c r="L14" s="37">
        <v>1</v>
      </c>
    </row>
    <row r="15" spans="1:12" ht="20.149999999999999" customHeight="1" thickBot="1">
      <c r="B15" s="41">
        <v>12</v>
      </c>
      <c r="C15" s="43" t="s">
        <v>151</v>
      </c>
      <c r="D15" s="40" t="s">
        <v>152</v>
      </c>
      <c r="F15" s="37">
        <v>1</v>
      </c>
      <c r="K15" s="37">
        <v>5</v>
      </c>
      <c r="L15" s="37">
        <v>4</v>
      </c>
    </row>
    <row r="16" spans="1:12" ht="20.149999999999999" customHeight="1" thickBot="1">
      <c r="B16" s="41">
        <v>13</v>
      </c>
      <c r="C16" s="43" t="s">
        <v>153</v>
      </c>
      <c r="D16" s="40" t="s">
        <v>154</v>
      </c>
      <c r="E16" s="37">
        <v>1</v>
      </c>
    </row>
    <row r="17" spans="2:6" ht="20.149999999999999" customHeight="1" thickBot="1">
      <c r="B17" s="41">
        <v>14</v>
      </c>
      <c r="C17" s="43" t="s">
        <v>155</v>
      </c>
      <c r="D17" s="40" t="s">
        <v>156</v>
      </c>
      <c r="E17" s="37">
        <v>1</v>
      </c>
    </row>
    <row r="18" spans="2:6" ht="20.149999999999999" customHeight="1" thickBot="1">
      <c r="B18" s="41">
        <v>15</v>
      </c>
      <c r="C18" s="43" t="s">
        <v>157</v>
      </c>
      <c r="D18" s="40" t="s">
        <v>158</v>
      </c>
      <c r="E18" s="37">
        <v>1</v>
      </c>
    </row>
    <row r="19" spans="2:6" ht="20.149999999999999" customHeight="1" thickBot="1">
      <c r="B19" s="41">
        <v>16</v>
      </c>
      <c r="C19" s="43" t="s">
        <v>159</v>
      </c>
      <c r="D19" s="40" t="s">
        <v>160</v>
      </c>
      <c r="F19" s="37">
        <v>1</v>
      </c>
    </row>
    <row r="20" spans="2:6" ht="20.149999999999999" customHeight="1" thickBot="1">
      <c r="B20" s="41">
        <v>17</v>
      </c>
      <c r="C20" s="43" t="s">
        <v>161</v>
      </c>
      <c r="D20" s="40" t="s">
        <v>162</v>
      </c>
      <c r="F20" s="37">
        <v>1</v>
      </c>
    </row>
    <row r="21" spans="2:6" ht="20.149999999999999" customHeight="1" thickBot="1">
      <c r="B21" s="41">
        <v>18</v>
      </c>
      <c r="C21" s="43" t="s">
        <v>163</v>
      </c>
      <c r="D21" s="40" t="s">
        <v>164</v>
      </c>
      <c r="E21" s="37">
        <v>1</v>
      </c>
    </row>
    <row r="22" spans="2:6" ht="20.149999999999999" customHeight="1" thickBot="1">
      <c r="B22" s="41">
        <v>19</v>
      </c>
      <c r="C22" s="43" t="s">
        <v>165</v>
      </c>
      <c r="D22" s="40" t="s">
        <v>166</v>
      </c>
      <c r="F22" s="37">
        <v>1</v>
      </c>
    </row>
    <row r="23" spans="2:6" ht="20.149999999999999" customHeight="1" thickBot="1">
      <c r="B23" s="41">
        <v>20</v>
      </c>
      <c r="C23" s="43" t="s">
        <v>167</v>
      </c>
      <c r="D23" s="40" t="s">
        <v>168</v>
      </c>
      <c r="E23" s="37">
        <v>1</v>
      </c>
    </row>
    <row r="24" spans="2:6" ht="20.149999999999999" customHeight="1" thickBot="1">
      <c r="B24" s="41">
        <v>21</v>
      </c>
      <c r="C24" s="43" t="s">
        <v>169</v>
      </c>
      <c r="D24" s="40" t="s">
        <v>170</v>
      </c>
      <c r="E24" s="37">
        <v>1</v>
      </c>
    </row>
    <row r="25" spans="2:6" ht="20.149999999999999" customHeight="1" thickBot="1">
      <c r="B25" s="41">
        <v>22</v>
      </c>
      <c r="C25" s="43" t="s">
        <v>171</v>
      </c>
      <c r="D25" s="40" t="s">
        <v>172</v>
      </c>
      <c r="E25" s="37">
        <v>1</v>
      </c>
    </row>
    <row r="26" spans="2:6" ht="20.149999999999999" customHeight="1" thickBot="1">
      <c r="B26" s="41">
        <v>23</v>
      </c>
      <c r="C26" s="43" t="s">
        <v>173</v>
      </c>
      <c r="D26" s="40" t="s">
        <v>174</v>
      </c>
      <c r="F26" s="37">
        <v>1</v>
      </c>
    </row>
    <row r="27" spans="2:6" ht="20.149999999999999" customHeight="1" thickBot="1">
      <c r="B27" s="41">
        <v>24</v>
      </c>
      <c r="C27" s="43" t="s">
        <v>175</v>
      </c>
      <c r="D27" s="40" t="s">
        <v>176</v>
      </c>
      <c r="E27" s="37">
        <v>1</v>
      </c>
    </row>
    <row r="28" spans="2:6" ht="20.149999999999999" customHeight="1" thickBot="1">
      <c r="B28" s="41">
        <v>25</v>
      </c>
      <c r="C28" s="43" t="s">
        <v>177</v>
      </c>
      <c r="D28" s="40" t="s">
        <v>178</v>
      </c>
      <c r="F28" s="37">
        <v>1</v>
      </c>
    </row>
    <row r="29" spans="2:6" ht="20.149999999999999" customHeight="1" thickBot="1">
      <c r="B29" s="41">
        <v>26</v>
      </c>
      <c r="C29" s="43" t="s">
        <v>179</v>
      </c>
      <c r="D29" s="40" t="s">
        <v>180</v>
      </c>
      <c r="E29" s="37">
        <v>1</v>
      </c>
    </row>
    <row r="30" spans="2:6" ht="20.149999999999999" customHeight="1" thickBot="1">
      <c r="B30" s="41">
        <v>27</v>
      </c>
      <c r="C30" s="43" t="s">
        <v>181</v>
      </c>
      <c r="D30" s="40" t="s">
        <v>182</v>
      </c>
      <c r="E30" s="37">
        <v>1</v>
      </c>
    </row>
    <row r="31" spans="2:6" ht="20.149999999999999" customHeight="1" thickBot="1">
      <c r="B31" s="41">
        <v>28</v>
      </c>
      <c r="C31" s="43" t="s">
        <v>183</v>
      </c>
      <c r="D31" s="40" t="s">
        <v>184</v>
      </c>
      <c r="E31" s="37">
        <v>1</v>
      </c>
    </row>
    <row r="32" spans="2:6" ht="20.149999999999999" customHeight="1" thickBot="1">
      <c r="B32" s="41">
        <v>29</v>
      </c>
      <c r="C32" s="43" t="s">
        <v>185</v>
      </c>
      <c r="D32" s="40" t="s">
        <v>186</v>
      </c>
      <c r="E32" s="37">
        <v>1</v>
      </c>
    </row>
    <row r="33" spans="2:6" ht="20.149999999999999" customHeight="1" thickBot="1">
      <c r="B33" s="41">
        <v>30</v>
      </c>
      <c r="C33" s="43" t="s">
        <v>187</v>
      </c>
      <c r="D33" s="40" t="s">
        <v>188</v>
      </c>
      <c r="F33" s="37">
        <v>1</v>
      </c>
    </row>
    <row r="34" spans="2:6" ht="20.149999999999999" customHeight="1" thickBot="1">
      <c r="B34" s="41">
        <v>31</v>
      </c>
      <c r="C34" s="43" t="s">
        <v>189</v>
      </c>
      <c r="D34" s="40" t="s">
        <v>190</v>
      </c>
      <c r="F34" s="37">
        <v>1</v>
      </c>
    </row>
    <row r="35" spans="2:6" ht="20.149999999999999" customHeight="1" thickBot="1">
      <c r="B35" s="41">
        <v>32</v>
      </c>
      <c r="C35" s="43" t="s">
        <v>191</v>
      </c>
      <c r="D35" s="40" t="s">
        <v>192</v>
      </c>
      <c r="F35" s="37">
        <v>1</v>
      </c>
    </row>
    <row r="36" spans="2:6" ht="20.149999999999999" customHeight="1" thickBot="1">
      <c r="B36" s="41">
        <v>33</v>
      </c>
      <c r="C36" s="43" t="s">
        <v>193</v>
      </c>
      <c r="D36" s="40" t="s">
        <v>194</v>
      </c>
      <c r="E36" s="37">
        <v>1</v>
      </c>
    </row>
    <row r="37" spans="2:6" ht="20.149999999999999" customHeight="1" thickBot="1">
      <c r="B37" s="41">
        <v>34</v>
      </c>
      <c r="C37" s="43" t="s">
        <v>195</v>
      </c>
      <c r="D37" s="40" t="s">
        <v>196</v>
      </c>
      <c r="E37" s="37">
        <v>1</v>
      </c>
    </row>
    <row r="38" spans="2:6" ht="20.149999999999999" customHeight="1" thickBot="1">
      <c r="B38" s="41">
        <v>35</v>
      </c>
      <c r="C38" s="43" t="s">
        <v>197</v>
      </c>
      <c r="D38" s="40" t="s">
        <v>198</v>
      </c>
      <c r="E38" s="37">
        <v>1</v>
      </c>
    </row>
    <row r="39" spans="2:6" ht="20.149999999999999" customHeight="1" thickBot="1">
      <c r="B39" s="41">
        <v>36</v>
      </c>
      <c r="C39" s="43" t="s">
        <v>199</v>
      </c>
      <c r="D39" s="40" t="s">
        <v>200</v>
      </c>
      <c r="E39" s="37">
        <v>1</v>
      </c>
    </row>
    <row r="40" spans="2:6" ht="20.149999999999999" customHeight="1" thickBot="1">
      <c r="B40" s="41">
        <v>37</v>
      </c>
      <c r="C40" s="43" t="s">
        <v>201</v>
      </c>
      <c r="D40" s="40" t="s">
        <v>202</v>
      </c>
      <c r="E40" s="37">
        <v>1</v>
      </c>
    </row>
    <row r="41" spans="2:6" ht="20.149999999999999" customHeight="1" thickBot="1">
      <c r="B41" s="41">
        <v>38</v>
      </c>
      <c r="C41" s="43" t="s">
        <v>203</v>
      </c>
      <c r="D41" s="40" t="s">
        <v>204</v>
      </c>
      <c r="E41" s="37">
        <v>1</v>
      </c>
    </row>
    <row r="42" spans="2:6" ht="20.149999999999999" customHeight="1" thickBot="1">
      <c r="B42" s="41">
        <v>39</v>
      </c>
      <c r="C42" s="43" t="s">
        <v>205</v>
      </c>
      <c r="D42" s="40" t="s">
        <v>206</v>
      </c>
      <c r="E42" s="37">
        <v>1</v>
      </c>
    </row>
    <row r="43" spans="2:6" ht="20.149999999999999" customHeight="1" thickBot="1">
      <c r="B43" s="41">
        <v>40</v>
      </c>
      <c r="C43" s="43" t="s">
        <v>207</v>
      </c>
      <c r="D43" s="40" t="s">
        <v>208</v>
      </c>
      <c r="E43" s="37">
        <v>1</v>
      </c>
    </row>
    <row r="44" spans="2:6" ht="20.149999999999999" customHeight="1" thickBot="1">
      <c r="B44" s="41">
        <v>41</v>
      </c>
      <c r="C44" s="43" t="s">
        <v>209</v>
      </c>
      <c r="D44" s="40" t="s">
        <v>210</v>
      </c>
      <c r="E44" s="37">
        <v>1</v>
      </c>
    </row>
    <row r="45" spans="2:6" ht="20.149999999999999" customHeight="1" thickBot="1">
      <c r="B45" s="44">
        <v>42</v>
      </c>
      <c r="C45" s="43" t="s">
        <v>211</v>
      </c>
      <c r="D45" s="40" t="s">
        <v>212</v>
      </c>
      <c r="E45" s="37">
        <v>1</v>
      </c>
    </row>
    <row r="46" spans="2:6" ht="20.149999999999999" customHeight="1" thickBot="1">
      <c r="B46" s="45">
        <v>43</v>
      </c>
      <c r="C46" s="43" t="s">
        <v>105</v>
      </c>
      <c r="D46" s="40" t="s">
        <v>213</v>
      </c>
      <c r="F46" s="37">
        <v>1</v>
      </c>
    </row>
    <row r="47" spans="2:6" ht="15" thickBot="1">
      <c r="B47" s="45">
        <v>44</v>
      </c>
      <c r="C47" s="43" t="s">
        <v>214</v>
      </c>
      <c r="D47" s="40" t="s">
        <v>215</v>
      </c>
      <c r="E47" s="37">
        <v>1</v>
      </c>
    </row>
    <row r="48" spans="2:6">
      <c r="E48" s="37">
        <f>SUM(E4:E47)</f>
        <v>30</v>
      </c>
      <c r="F48" s="37">
        <f>SUM(F4:F47)</f>
        <v>14</v>
      </c>
    </row>
  </sheetData>
  <mergeCells count="2">
    <mergeCell ref="C1:D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14"/>
  <sheetViews>
    <sheetView workbookViewId="0">
      <selection activeCell="E19" sqref="E19"/>
    </sheetView>
  </sheetViews>
  <sheetFormatPr defaultRowHeight="14.5"/>
  <cols>
    <col min="1" max="1" width="3.54296875" customWidth="1"/>
    <col min="2" max="2" width="3.54296875" bestFit="1" customWidth="1"/>
    <col min="3" max="3" width="21" bestFit="1" customWidth="1"/>
    <col min="4" max="4" width="29.26953125" bestFit="1" customWidth="1"/>
    <col min="5" max="5" width="74.54296875" bestFit="1" customWidth="1"/>
    <col min="6" max="6" width="4.1796875" bestFit="1" customWidth="1"/>
    <col min="7" max="7" width="13.1796875" bestFit="1" customWidth="1"/>
    <col min="8" max="8" width="9.1796875" bestFit="1" customWidth="1"/>
  </cols>
  <sheetData>
    <row r="1" spans="2:8" ht="15" thickBot="1">
      <c r="B1" s="17"/>
    </row>
    <row r="2" spans="2:8" ht="15" thickBot="1">
      <c r="B2" s="18" t="s">
        <v>1</v>
      </c>
      <c r="C2" s="19" t="s">
        <v>216</v>
      </c>
      <c r="D2" s="19" t="s">
        <v>217</v>
      </c>
      <c r="E2" s="19" t="s">
        <v>218</v>
      </c>
      <c r="F2" s="20" t="s">
        <v>219</v>
      </c>
      <c r="G2" s="20" t="s">
        <v>220</v>
      </c>
      <c r="H2" s="20" t="s">
        <v>221</v>
      </c>
    </row>
    <row r="3" spans="2:8" s="31" customFormat="1" ht="15" thickBot="1">
      <c r="B3" s="27">
        <v>1</v>
      </c>
      <c r="C3" s="28" t="s">
        <v>222</v>
      </c>
      <c r="D3" s="28" t="s">
        <v>223</v>
      </c>
      <c r="E3" s="28" t="s">
        <v>224</v>
      </c>
      <c r="F3" s="29">
        <v>1</v>
      </c>
      <c r="G3" s="29" t="s">
        <v>225</v>
      </c>
      <c r="H3" s="30">
        <v>25000</v>
      </c>
    </row>
    <row r="4" spans="2:8" s="25" customFormat="1">
      <c r="B4" s="136">
        <v>2</v>
      </c>
      <c r="C4" s="136" t="s">
        <v>226</v>
      </c>
      <c r="D4" s="136" t="s">
        <v>227</v>
      </c>
      <c r="E4" s="32" t="s">
        <v>228</v>
      </c>
      <c r="F4" s="138">
        <v>24</v>
      </c>
      <c r="G4" s="138" t="s">
        <v>229</v>
      </c>
      <c r="H4" s="134">
        <v>508.8</v>
      </c>
    </row>
    <row r="5" spans="2:8" s="25" customFormat="1" ht="15" thickBot="1">
      <c r="B5" s="137"/>
      <c r="C5" s="137"/>
      <c r="D5" s="137"/>
      <c r="E5" s="33" t="s">
        <v>230</v>
      </c>
      <c r="F5" s="139"/>
      <c r="G5" s="139"/>
      <c r="H5" s="135"/>
    </row>
    <row r="6" spans="2:8" s="25" customFormat="1" ht="15" thickBot="1">
      <c r="B6" s="21">
        <v>3</v>
      </c>
      <c r="C6" s="22" t="s">
        <v>231</v>
      </c>
      <c r="D6" s="22" t="s">
        <v>106</v>
      </c>
      <c r="E6" s="22" t="s">
        <v>232</v>
      </c>
      <c r="F6" s="23">
        <v>28</v>
      </c>
      <c r="G6" s="23" t="s">
        <v>233</v>
      </c>
      <c r="H6" s="24">
        <v>997.92</v>
      </c>
    </row>
    <row r="7" spans="2:8" s="25" customFormat="1" ht="15" thickBot="1">
      <c r="B7" s="21">
        <v>4</v>
      </c>
      <c r="C7" s="22" t="s">
        <v>234</v>
      </c>
      <c r="D7" s="22" t="s">
        <v>235</v>
      </c>
      <c r="E7" s="22" t="s">
        <v>236</v>
      </c>
      <c r="F7" s="23">
        <v>1</v>
      </c>
      <c r="G7" s="23" t="s">
        <v>237</v>
      </c>
      <c r="H7" s="26">
        <v>11880</v>
      </c>
    </row>
    <row r="8" spans="2:8" s="25" customFormat="1">
      <c r="B8" s="136">
        <v>5</v>
      </c>
      <c r="C8" s="136" t="s">
        <v>238</v>
      </c>
      <c r="D8" s="136" t="s">
        <v>239</v>
      </c>
      <c r="E8" s="32" t="s">
        <v>228</v>
      </c>
      <c r="F8" s="138">
        <v>20</v>
      </c>
      <c r="G8" s="138" t="s">
        <v>240</v>
      </c>
      <c r="H8" s="134">
        <v>432</v>
      </c>
    </row>
    <row r="9" spans="2:8" s="25" customFormat="1" ht="15" thickBot="1">
      <c r="B9" s="137"/>
      <c r="C9" s="137"/>
      <c r="D9" s="137"/>
      <c r="E9" s="33" t="s">
        <v>230</v>
      </c>
      <c r="F9" s="139"/>
      <c r="G9" s="139"/>
      <c r="H9" s="135"/>
    </row>
    <row r="10" spans="2:8" s="25" customFormat="1">
      <c r="B10" s="136">
        <v>6</v>
      </c>
      <c r="C10" s="136" t="s">
        <v>241</v>
      </c>
      <c r="D10" s="136" t="s">
        <v>104</v>
      </c>
      <c r="E10" s="32" t="s">
        <v>228</v>
      </c>
      <c r="F10" s="138">
        <v>24</v>
      </c>
      <c r="G10" s="138" t="s">
        <v>242</v>
      </c>
      <c r="H10" s="134">
        <v>518.4</v>
      </c>
    </row>
    <row r="11" spans="2:8" s="25" customFormat="1" ht="15" thickBot="1">
      <c r="B11" s="137"/>
      <c r="C11" s="137"/>
      <c r="D11" s="137"/>
      <c r="E11" s="33" t="s">
        <v>230</v>
      </c>
      <c r="F11" s="139"/>
      <c r="G11" s="139"/>
      <c r="H11" s="135"/>
    </row>
    <row r="12" spans="2:8" s="25" customFormat="1" ht="15" thickBot="1">
      <c r="B12" s="21">
        <v>7</v>
      </c>
      <c r="C12" s="22" t="s">
        <v>243</v>
      </c>
      <c r="D12" s="22" t="s">
        <v>227</v>
      </c>
      <c r="E12" s="22" t="s">
        <v>244</v>
      </c>
      <c r="F12" s="23">
        <v>32</v>
      </c>
      <c r="G12" s="23" t="s">
        <v>245</v>
      </c>
      <c r="H12" s="24">
        <v>691.2</v>
      </c>
    </row>
    <row r="13" spans="2:8" s="25" customFormat="1" ht="15" thickBot="1">
      <c r="B13" s="21">
        <v>8</v>
      </c>
      <c r="C13" s="22" t="s">
        <v>246</v>
      </c>
      <c r="D13" s="22" t="s">
        <v>247</v>
      </c>
      <c r="E13" s="22" t="s">
        <v>248</v>
      </c>
      <c r="F13" s="23">
        <v>50</v>
      </c>
      <c r="G13" s="23" t="s">
        <v>249</v>
      </c>
      <c r="H13" s="26">
        <v>1782</v>
      </c>
    </row>
    <row r="14" spans="2:8">
      <c r="B14" s="17"/>
    </row>
  </sheetData>
  <mergeCells count="18">
    <mergeCell ref="H10:H11"/>
    <mergeCell ref="B8:B9"/>
    <mergeCell ref="C8:C9"/>
    <mergeCell ref="D8:D9"/>
    <mergeCell ref="F8:F9"/>
    <mergeCell ref="G8:G9"/>
    <mergeCell ref="H8:H9"/>
    <mergeCell ref="B10:B11"/>
    <mergeCell ref="C10:C11"/>
    <mergeCell ref="D10:D11"/>
    <mergeCell ref="F10:F11"/>
    <mergeCell ref="G10:G11"/>
    <mergeCell ref="H4:H5"/>
    <mergeCell ref="B4:B5"/>
    <mergeCell ref="C4:C5"/>
    <mergeCell ref="D4:D5"/>
    <mergeCell ref="F4:F5"/>
    <mergeCell ref="G4:G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F9B6FD401024CA945249B6E0DC146" ma:contentTypeVersion="17" ma:contentTypeDescription="Create a new document." ma:contentTypeScope="" ma:versionID="982deb0965f4e14de2b395d8b2533b00">
  <xsd:schema xmlns:xsd="http://www.w3.org/2001/XMLSchema" xmlns:xs="http://www.w3.org/2001/XMLSchema" xmlns:p="http://schemas.microsoft.com/office/2006/metadata/properties" xmlns:ns2="5f3daaf4-d967-4da0-ad17-adb95c5ace20" xmlns:ns3="09211326-89ad-4bd0-b6dd-aff52ca67a21" targetNamespace="http://schemas.microsoft.com/office/2006/metadata/properties" ma:root="true" ma:fieldsID="675470a2dadd6acbe58ea066200e54d8" ns2:_="" ns3:_="">
    <xsd:import namespace="5f3daaf4-d967-4da0-ad17-adb95c5ace20"/>
    <xsd:import namespace="09211326-89ad-4bd0-b6dd-aff52ca67a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TrainerName" minOccurs="0"/>
                <xsd:element ref="ns2:TrainerCategory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daaf4-d967-4da0-ad17-adb95c5ac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a8d7b5-0ee0-41c3-9aa4-eae2f4059a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TrainerName" ma:index="22" nillable="true" ma:displayName="Trainer Name" ma:format="Dropdown" ma:internalName="TrainerName">
      <xsd:simpleType>
        <xsd:restriction base="dms:Text">
          <xsd:maxLength value="255"/>
        </xsd:restriction>
      </xsd:simpleType>
    </xsd:element>
    <xsd:element name="TrainerCategory" ma:index="23" nillable="true" ma:displayName="Trainer Category" ma:format="Dropdown" ma:internalName="TrainerCategory">
      <xsd:simpleType>
        <xsd:restriction base="dms:Choice">
          <xsd:enumeration value="Freelance"/>
          <xsd:enumeration value="Training Partner"/>
          <xsd:enumeration value="Freelance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11326-89ad-4bd0-b6dd-aff52ca67a2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4a0c7f6-087e-4659-9262-e5256959297d}" ma:internalName="TaxCatchAll" ma:showField="CatchAllData" ma:web="09211326-89ad-4bd0-b6dd-aff52ca67a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3daaf4-d967-4da0-ad17-adb95c5ace20">
      <Terms xmlns="http://schemas.microsoft.com/office/infopath/2007/PartnerControls"/>
    </lcf76f155ced4ddcb4097134ff3c332f>
    <TaxCatchAll xmlns="09211326-89ad-4bd0-b6dd-aff52ca67a21" xsi:nil="true"/>
    <TrainerCategory xmlns="5f3daaf4-d967-4da0-ad17-adb95c5ace20" xsi:nil="true"/>
    <TrainerName xmlns="5f3daaf4-d967-4da0-ad17-adb95c5ace2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54DBF3-397D-490B-9934-CC23BAB1F5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daaf4-d967-4da0-ad17-adb95c5ace20"/>
    <ds:schemaRef ds:uri="09211326-89ad-4bd0-b6dd-aff52ca67a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FF6335-99A5-4A54-972A-F0C002967006}">
  <ds:schemaRefs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09211326-89ad-4bd0-b6dd-aff52ca67a21"/>
    <ds:schemaRef ds:uri="5f3daaf4-d967-4da0-ad17-adb95c5ace20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761D4D7-7CA9-4525-8D39-2628B6C42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Attendance list</vt:lpstr>
      <vt:lpstr>quotation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Kah Yaw</dc:creator>
  <cp:keywords/>
  <dc:description/>
  <cp:lastModifiedBy>Mohd Abu Sa'id Abdul Razak</cp:lastModifiedBy>
  <cp:revision/>
  <dcterms:created xsi:type="dcterms:W3CDTF">2024-07-04T01:46:18Z</dcterms:created>
  <dcterms:modified xsi:type="dcterms:W3CDTF">2026-08-19T14:36:33Z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0x010100A3FF9B6FD401024CA945249B6E0DC146</vt:lpwstr>
  </property>
  <property fmtid="{D5CDD505-2E9C-101B-9397-08002B2CF9AE}" pid="3" name="MediaServiceImageTags">
    <vt:lpwstr/>
  </property>
</Properties>
</file>